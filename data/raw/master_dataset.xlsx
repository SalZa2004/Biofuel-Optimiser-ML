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an\OneDrive\Desktop\Biofuel-Optimiser-ML\data\raw\"/>
    </mc:Choice>
  </mc:AlternateContent>
  <xr:revisionPtr revIDLastSave="0" documentId="13_ncr:1_{60D7BFD6-E665-49DA-8C35-4BF638C1A2F2}" xr6:coauthVersionLast="47" xr6:coauthVersionMax="47" xr10:uidLastSave="{00000000-0000-0000-0000-000000000000}"/>
  <bookViews>
    <workbookView xWindow="-110" yWindow="-110" windowWidth="25820" windowHeight="15500" tabRatio="183" xr2:uid="{00000000-000D-0000-FFFF-FFFF00000000}"/>
  </bookViews>
  <sheets>
    <sheet name="Salvina" sheetId="1" r:id="rId1"/>
    <sheet name="Yang" sheetId="2" r:id="rId2"/>
    <sheet name="Yangy2" sheetId="10" r:id="rId3"/>
    <sheet name="Nadia 1" sheetId="3" r:id="rId4"/>
    <sheet name="Nadia 2" sheetId="8" r:id="rId5"/>
    <sheet name="Maimoona" sheetId="9" r:id="rId6"/>
    <sheet name="Intan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7" i="8"/>
  <c r="I8" i="8"/>
  <c r="L12" i="1"/>
  <c r="L21" i="1"/>
  <c r="O20" i="1"/>
  <c r="O19" i="1"/>
  <c r="O18" i="1"/>
  <c r="O17" i="1"/>
  <c r="O16" i="1"/>
  <c r="O15" i="1"/>
  <c r="O14" i="1"/>
  <c r="O13" i="1"/>
  <c r="O12" i="1"/>
  <c r="O11" i="1"/>
  <c r="O10" i="1"/>
  <c r="L20" i="1"/>
  <c r="L19" i="1"/>
  <c r="L18" i="1"/>
  <c r="L17" i="1"/>
  <c r="L16" i="1"/>
  <c r="L15" i="1"/>
  <c r="L14" i="1"/>
  <c r="L13" i="1"/>
  <c r="L11" i="1"/>
  <c r="L10" i="1"/>
</calcChain>
</file>

<file path=xl/sharedStrings.xml><?xml version="1.0" encoding="utf-8"?>
<sst xmlns="http://schemas.openxmlformats.org/spreadsheetml/2006/main" count="1691" uniqueCount="455">
  <si>
    <t>Source_Paper</t>
  </si>
  <si>
    <t>Fuel</t>
  </si>
  <si>
    <t>Feedstock_Type</t>
    <phoneticPr fontId="0" type="noConversion"/>
  </si>
  <si>
    <t>boiling_point_K</t>
  </si>
  <si>
    <t>flash_point_C</t>
  </si>
  <si>
    <t>C16_0 (%)</t>
  </si>
  <si>
    <t>C18_0 (%)</t>
  </si>
  <si>
    <t>C18_1 (%)</t>
  </si>
  <si>
    <t>C18_2 (%)</t>
  </si>
  <si>
    <t>C18_3 (%)</t>
  </si>
  <si>
    <t>C:H_ratio</t>
  </si>
  <si>
    <t>Density_kg_m3</t>
  </si>
  <si>
    <t>Dynamic_viscosity_at_60 (mPa s)</t>
  </si>
  <si>
    <t>Surface Tension (mN/m)</t>
  </si>
  <si>
    <t>Lower_Heating_Value_MJ_kg</t>
  </si>
  <si>
    <t>Acid_Value_mgKOH_g</t>
  </si>
  <si>
    <t>Cetane_Number</t>
  </si>
  <si>
    <t>Oxygen_Content_%</t>
  </si>
  <si>
    <t>Engine_Type</t>
  </si>
  <si>
    <t>Engine_Speed_rpm</t>
  </si>
  <si>
    <t>Injection_Pressure_bar</t>
  </si>
  <si>
    <t>Ignition_Delay_CAD</t>
  </si>
  <si>
    <t>Peak_Pressure_bar</t>
  </si>
  <si>
    <t>NOx_ppm</t>
  </si>
  <si>
    <t>CO_ppm</t>
  </si>
  <si>
    <t>THC_ppm</t>
  </si>
  <si>
    <t>Notes</t>
  </si>
  <si>
    <t>Hellier, Ladommatos, Yusaf - 2015 - The influence of straight vegetable oil fatty acid composition </t>
  </si>
  <si>
    <t>Diesel</t>
  </si>
  <si>
    <t>Fossil Diesel</t>
  </si>
  <si>
    <t>-</t>
  </si>
  <si>
    <t>Compression Ignition</t>
    <phoneticPr fontId="0" type="noConversion"/>
  </si>
  <si>
    <t>Data taken from constant injection timing</t>
  </si>
  <si>
    <t>Algal</t>
  </si>
  <si>
    <t>Vegetable Oil</t>
  </si>
  <si>
    <t>For C-16_0, C_18_0 etc, the mean has been taken</t>
  </si>
  <si>
    <t>Corn</t>
  </si>
  <si>
    <t>Dynamic Viscosity (mPa·s) is given at 19.7 C</t>
  </si>
  <si>
    <t>Constant Ignition Timing (SOC at BTDC)</t>
  </si>
  <si>
    <t>Groundnut</t>
  </si>
  <si>
    <t>Surface Tension @60°C (mN/m)</t>
  </si>
  <si>
    <t>Data not found on paper</t>
  </si>
  <si>
    <t>Palm</t>
  </si>
  <si>
    <t>Data available but encrypted as if it is giving out government secrets</t>
  </si>
  <si>
    <t>Rapeseed</t>
  </si>
  <si>
    <t>Soybean</t>
  </si>
  <si>
    <t>Sunflower</t>
  </si>
  <si>
    <t>Koivisto, Ladommatos, Gold - 2015 - Compression Ignition and Exhaust Gas Emissions of Fuel Molecules Which Can Be Produced from Lignocel</t>
  </si>
  <si>
    <t>Heptane</t>
  </si>
  <si>
    <t>Alkane</t>
  </si>
  <si>
    <t>Compression Ignition</t>
    <phoneticPr fontId="6" type="noConversion"/>
  </si>
  <si>
    <t>Density at 298 K</t>
  </si>
  <si>
    <t>Nonane</t>
  </si>
  <si>
    <t>Surface Tension @298K</t>
  </si>
  <si>
    <t>Decane</t>
  </si>
  <si>
    <t>Dynamic Viscosity @ 298K</t>
  </si>
  <si>
    <t>Dipentyl ether</t>
  </si>
  <si>
    <t>Ether</t>
  </si>
  <si>
    <t>3-heptanone</t>
  </si>
  <si>
    <t>Ketone</t>
  </si>
  <si>
    <t>5-nonane</t>
  </si>
  <si>
    <t>ethyl levulinate</t>
  </si>
  <si>
    <t>Levulinate</t>
  </si>
  <si>
    <t>butyl levulinate</t>
  </si>
  <si>
    <t>ethyle valerate</t>
  </si>
  <si>
    <t>Valerate</t>
  </si>
  <si>
    <t>butyl valerate</t>
  </si>
  <si>
    <t>pentyl valerate</t>
  </si>
  <si>
    <t>Koivisto, Ladommatos, Gold - 2015 - Systematic study of the effect of the hydroxyl functional group in alcohol molecules</t>
  </si>
  <si>
    <t>Octane</t>
  </si>
  <si>
    <t>Compression Ignition</t>
  </si>
  <si>
    <t>Density at 25 C Surface tension at 25 C Dynamic Viscosity at 25 C</t>
  </si>
  <si>
    <t>Undecane</t>
  </si>
  <si>
    <t>Dodecane</t>
  </si>
  <si>
    <t>Tetradecane</t>
  </si>
  <si>
    <t>Hexadecane</t>
  </si>
  <si>
    <t>1-Octene</t>
  </si>
  <si>
    <t>Alkene</t>
  </si>
  <si>
    <t>1-Decene</t>
  </si>
  <si>
    <t>1-Octanol</t>
  </si>
  <si>
    <t>Alcohol</t>
  </si>
  <si>
    <t>2-Octanol</t>
  </si>
  <si>
    <t>3-Octanol</t>
  </si>
  <si>
    <t>1-Octen-3-ol</t>
  </si>
  <si>
    <t>1-Nonanol</t>
  </si>
  <si>
    <t>2-Nonanol</t>
  </si>
  <si>
    <t>5-Nonanol</t>
  </si>
  <si>
    <t>1-Decanol</t>
  </si>
  <si>
    <t>1-Decen-3-ol</t>
  </si>
  <si>
    <t>1-Undecanol</t>
  </si>
  <si>
    <t>2-Undecanol</t>
  </si>
  <si>
    <t>10-Undecen-1-ol</t>
  </si>
  <si>
    <t>3,7-Dimethyl-1-octanol</t>
  </si>
  <si>
    <t>3,7-Dimethyl-3-octanol</t>
  </si>
  <si>
    <t>1-Dodecanol</t>
  </si>
  <si>
    <t>1-Tetradecanol</t>
  </si>
  <si>
    <t>1-Hexadecanol</t>
  </si>
  <si>
    <t>Fuel</t>
    <phoneticPr fontId="0" type="noConversion"/>
  </si>
  <si>
    <t>Fuel_Type</t>
  </si>
  <si>
    <t>boiling Point (K)</t>
    <phoneticPr fontId="0" type="noConversion"/>
  </si>
  <si>
    <t>Kinematic_Viscosity_mm2_s</t>
  </si>
  <si>
    <t>Surface Tension @25°C (N/m)Calculated: (Dynamic Viscosity / Density)</t>
    <phoneticPr fontId="0" type="noConversion"/>
  </si>
  <si>
    <t>Heating_Value_MJ_kg</t>
  </si>
  <si>
    <t>Heat_Release_Rate_J_deg</t>
  </si>
  <si>
    <t>NOx_ppm estimated from graph</t>
    <phoneticPr fontId="0" type="noConversion"/>
  </si>
  <si>
    <t>Ignition Delay vs. same-chain Alkylbenzene (CAD)Calculated: (Alcohol ID - Alkylbenzene ID)</t>
    <phoneticPr fontId="0" type="noConversion"/>
  </si>
  <si>
    <t>Peak HRR vs. same-chain Alkylbenzene (J/deg)Calculated: (Alcohol pHRR - Alkylbenzene pHRR)</t>
    <phoneticPr fontId="0" type="noConversion"/>
  </si>
  <si>
    <t>Particulate_Number</t>
  </si>
  <si>
    <t>Combustion_Duration_CAD</t>
  </si>
  <si>
    <t>Compression ignition and pollutant emissions of large alkylbenzenes</t>
    <phoneticPr fontId="0" type="noConversion"/>
  </si>
  <si>
    <t>1-Heptanol</t>
    <phoneticPr fontId="0" type="noConversion"/>
  </si>
  <si>
    <t>yes</t>
    <phoneticPr fontId="0" type="noConversion"/>
  </si>
  <si>
    <t>Alcohol</t>
    <phoneticPr fontId="0" type="noConversion"/>
  </si>
  <si>
    <t>plant/animal oils or fermentation of sugars</t>
    <phoneticPr fontId="0" type="noConversion"/>
  </si>
  <si>
    <t>1-Octanol</t>
    <phoneticPr fontId="0" type="noConversion"/>
  </si>
  <si>
    <t>palm oil, coconut oil, etc</t>
    <phoneticPr fontId="0" type="noConversion"/>
  </si>
  <si>
    <t>1-Dodecanol</t>
    <phoneticPr fontId="0" type="noConversion"/>
  </si>
  <si>
    <t xml:space="preserve"> lauric acid found in palm or coconut oil</t>
    <phoneticPr fontId="0" type="noConversion"/>
  </si>
  <si>
    <t>Heptylbenzene</t>
    <phoneticPr fontId="0" type="noConversion"/>
  </si>
  <si>
    <t>No</t>
    <phoneticPr fontId="0" type="noConversion"/>
  </si>
  <si>
    <t>Alkylbenzene</t>
    <phoneticPr fontId="0" type="noConversion"/>
  </si>
  <si>
    <t>Fossil / Synthetic</t>
    <phoneticPr fontId="0" type="noConversion"/>
  </si>
  <si>
    <t>Octylbenzene</t>
    <phoneticPr fontId="0" type="noConversion"/>
  </si>
  <si>
    <t>Dodecylbenzene</t>
    <phoneticPr fontId="0" type="noConversion"/>
  </si>
  <si>
    <t>Heptane</t>
    <phoneticPr fontId="0" type="noConversion"/>
  </si>
  <si>
    <t>Alkane (Paraffin)</t>
    <phoneticPr fontId="0" type="noConversion"/>
  </si>
  <si>
    <t>Fossil</t>
    <phoneticPr fontId="0" type="noConversion"/>
  </si>
  <si>
    <t>Octane</t>
    <phoneticPr fontId="0" type="noConversion"/>
  </si>
  <si>
    <t>Dodecane</t>
    <phoneticPr fontId="0" type="noConversion"/>
  </si>
  <si>
    <t>Toluene+Hexane</t>
    <phoneticPr fontId="0" type="noConversion"/>
  </si>
  <si>
    <t>Blend</t>
    <phoneticPr fontId="0" type="noConversion"/>
  </si>
  <si>
    <t>Alkane/Aromatic Mix</t>
    <phoneticPr fontId="0" type="noConversion"/>
  </si>
  <si>
    <t>N/A</t>
    <phoneticPr fontId="0" type="noConversion"/>
  </si>
  <si>
    <t>Toluene+Heptane</t>
    <phoneticPr fontId="0" type="noConversion"/>
  </si>
  <si>
    <t>Toluene+Undecane</t>
    <phoneticPr fontId="0" type="noConversion"/>
  </si>
  <si>
    <t>Research Paper: Transesterification of high-acidity spent coffee ground oil and subsequent
 combustion and emissions characteristics in a compression-ignition engine</t>
  </si>
  <si>
    <t>Feedstock_Type</t>
  </si>
  <si>
    <t>Fatty_Acid_%w/w</t>
  </si>
  <si>
    <r>
      <t>Density_g_cm3 @ 15</t>
    </r>
    <r>
      <rPr>
        <b/>
        <sz val="11"/>
        <color theme="1"/>
        <rFont val="Aptos Narrow"/>
        <family val="2"/>
      </rPr>
      <t>°</t>
    </r>
    <r>
      <rPr>
        <b/>
        <sz val="9.4499999999999993"/>
        <color theme="1"/>
        <rFont val="Calibri"/>
        <family val="2"/>
      </rPr>
      <t>C</t>
    </r>
  </si>
  <si>
    <r>
      <t>Kinematic_Viscosity_mm2_s @ 40</t>
    </r>
    <r>
      <rPr>
        <b/>
        <sz val="11"/>
        <color theme="1"/>
        <rFont val="Aptos Narrow"/>
        <family val="2"/>
      </rPr>
      <t>°</t>
    </r>
    <r>
      <rPr>
        <b/>
        <sz val="9.4499999999999993"/>
        <color theme="1"/>
        <rFont val="Calibri"/>
        <family val="2"/>
      </rPr>
      <t>C</t>
    </r>
  </si>
  <si>
    <t>HHV_MJ_kg</t>
  </si>
  <si>
    <t>Acid_Value</t>
  </si>
  <si>
    <r>
      <t>Oxidation_Stability_h @ 110</t>
    </r>
    <r>
      <rPr>
        <b/>
        <sz val="11"/>
        <color theme="1"/>
        <rFont val="Aptos Narrow"/>
        <family val="2"/>
      </rPr>
      <t>°</t>
    </r>
    <r>
      <rPr>
        <b/>
        <sz val="9.4499999999999993"/>
        <color theme="1"/>
        <rFont val="Calibri"/>
        <family val="2"/>
      </rPr>
      <t>C</t>
    </r>
  </si>
  <si>
    <t>PHRR_J_deg</t>
  </si>
  <si>
    <t>Total_PM_concentration_g_cm3</t>
  </si>
  <si>
    <t>C16:0</t>
  </si>
  <si>
    <t>C18:0</t>
  </si>
  <si>
    <t>C18:1</t>
  </si>
  <si>
    <t>C18:2</t>
  </si>
  <si>
    <t>C18:3n6</t>
  </si>
  <si>
    <t>C18:3n3</t>
  </si>
  <si>
    <t>C20:1</t>
  </si>
  <si>
    <t>Unknown</t>
  </si>
  <si>
    <t>Constant_Injection_Timing</t>
  </si>
  <si>
    <t>Constant_Ignition_Timing</t>
  </si>
  <si>
    <t>Reference Diesel</t>
  </si>
  <si>
    <t>Non-biofuel</t>
  </si>
  <si>
    <t>a single cylinder, direct injection compression ignition research engine.</t>
  </si>
  <si>
    <t>SCG Oil</t>
  </si>
  <si>
    <t>Biofuel</t>
  </si>
  <si>
    <t>SCG Biodiesel</t>
  </si>
  <si>
    <t>39.72 ± 0.428</t>
  </si>
  <si>
    <t>0.55 ± 0.06</t>
  </si>
  <si>
    <t>SCG B5</t>
  </si>
  <si>
    <t>SCG B7</t>
  </si>
  <si>
    <t>SCG B20</t>
  </si>
  <si>
    <t>SCG B100</t>
  </si>
  <si>
    <t>Rapeseed Biodiesel</t>
  </si>
  <si>
    <t>40.28 ± 0.184</t>
  </si>
  <si>
    <t>0.27 ± 0.05</t>
  </si>
  <si>
    <t>Rapeseed B7</t>
  </si>
  <si>
    <t>Rapeseed B20</t>
  </si>
  <si>
    <t>Rapeseed B100</t>
  </si>
  <si>
    <t xml:space="preserve">Soya Biodiesel </t>
  </si>
  <si>
    <t>40.55 ± 0.221</t>
  </si>
  <si>
    <t>0.18 ± 0.03</t>
  </si>
  <si>
    <t>Soya B7</t>
  </si>
  <si>
    <t>Soya B20</t>
  </si>
  <si>
    <t>Soya B100</t>
  </si>
  <si>
    <t xml:space="preserve">Research Paper: The Impact of Saturated and Unsaturated Fuel Molecules 
on Diesel Combustion and Exhaust Emissions </t>
  </si>
  <si>
    <t>Fuel Properties and Results (effect on different molecular structure and when ignition delay is removed as variable)</t>
  </si>
  <si>
    <t>Notes: these fuels does not contain FAMEs hence they are not biofuels</t>
  </si>
  <si>
    <t>*results for when ID is removed start from PHRR</t>
  </si>
  <si>
    <t>Fuel Type</t>
  </si>
  <si>
    <t>Molecular_Formula</t>
  </si>
  <si>
    <t>Carbon_Number</t>
  </si>
  <si>
    <t>Assay_%</t>
  </si>
  <si>
    <t>Boiling_Point_K</t>
  </si>
  <si>
    <t>Enthalpy_of_Vaporation_kJ_mol</t>
  </si>
  <si>
    <t>Density_g_cm3</t>
  </si>
  <si>
    <t>Cetane Number</t>
  </si>
  <si>
    <t>Constant injection timing (SOI at 7.5 CAD BTDC)</t>
  </si>
  <si>
    <t>Constant ignition timing (SOC at TDC)</t>
  </si>
  <si>
    <t>Premixed_Burn_Phase_%MFB</t>
  </si>
  <si>
    <t>Maximum_in-cylinder_global_temperature_T_max_K</t>
  </si>
  <si>
    <t>Peak_Number_Nucleation_Mode_10^9</t>
  </si>
  <si>
    <t>Total_PM_ug_cc_10^-5</t>
  </si>
  <si>
    <t>Average Ignition Delay (CAD)</t>
  </si>
  <si>
    <t>Standard Deviation (CAD)</t>
  </si>
  <si>
    <t>Effect of 1 Double Bond</t>
  </si>
  <si>
    <t>Standard Deviation (CAD</t>
  </si>
  <si>
    <t>Reference fossil diesel</t>
  </si>
  <si>
    <t>a single cylinder direct injection diesel engine</t>
  </si>
  <si>
    <t>KV recorded at 313K</t>
  </si>
  <si>
    <t>n-heptane</t>
  </si>
  <si>
    <t>C7H16</t>
  </si>
  <si>
    <t>Non-biofuels</t>
  </si>
  <si>
    <t>KV recorded at 293K</t>
  </si>
  <si>
    <t>n-octane</t>
  </si>
  <si>
    <t>C8H18</t>
  </si>
  <si>
    <t>n-decane</t>
  </si>
  <si>
    <t>C10H22</t>
  </si>
  <si>
    <t>n-undecane</t>
  </si>
  <si>
    <t>C11H24</t>
  </si>
  <si>
    <t>n-dodecane</t>
  </si>
  <si>
    <t>C12H26</t>
  </si>
  <si>
    <t>n-tetradecane</t>
  </si>
  <si>
    <t>C14H30</t>
  </si>
  <si>
    <t>n-pentadecane</t>
  </si>
  <si>
    <t>C15H32</t>
  </si>
  <si>
    <t>n-hexadecane</t>
  </si>
  <si>
    <t>C16H34</t>
  </si>
  <si>
    <t>n-octadecane</t>
  </si>
  <si>
    <t>C18H38</t>
  </si>
  <si>
    <t>n-eicosane</t>
  </si>
  <si>
    <t>C20H42</t>
  </si>
  <si>
    <t>n-docosane</t>
  </si>
  <si>
    <t>C22H46</t>
  </si>
  <si>
    <t>1-octene</t>
  </si>
  <si>
    <t>C8H16</t>
  </si>
  <si>
    <t>1, 7-octadiene</t>
  </si>
  <si>
    <t>C8H14</t>
  </si>
  <si>
    <t>1-decene</t>
  </si>
  <si>
    <t>C10H20</t>
  </si>
  <si>
    <t>1-dodecene</t>
  </si>
  <si>
    <t>C12H24</t>
  </si>
  <si>
    <t>1-tetradecene</t>
  </si>
  <si>
    <t>C14H28</t>
  </si>
  <si>
    <t>8-methyl-hexadecane</t>
  </si>
  <si>
    <t>C17H36</t>
  </si>
  <si>
    <t>2, 6, 10, 14-tetra-metyl-pentadecane</t>
  </si>
  <si>
    <t>C19H40</t>
  </si>
  <si>
    <t>Results (Impact of Ignition Delay)</t>
  </si>
  <si>
    <t>Fuel</t>
    <phoneticPr fontId="3" type="noConversion"/>
  </si>
  <si>
    <t>Biodiesel?</t>
  </si>
  <si>
    <t>Melting_Point_K</t>
  </si>
  <si>
    <t>Enthalpy_Vaporisation_kJ_mol</t>
  </si>
  <si>
    <t>Density_at_20_kg_m3</t>
  </si>
  <si>
    <t>Density_at_60_kg_m3</t>
  </si>
  <si>
    <t>Dynamic_Viscosity_at_20_mPa.s</t>
  </si>
  <si>
    <t>Dynamic_Viscosity_at_60_mPa.s</t>
  </si>
  <si>
    <t>2_EHN_dosage_ppm</t>
  </si>
  <si>
    <t>IMEP_bar</t>
  </si>
  <si>
    <t>SOI for constant injection timing (CAD BTDC)</t>
  </si>
  <si>
    <t>SOC for constant ignition timing (CAD BTDC)</t>
  </si>
  <si>
    <t>Injection_Duration_μs</t>
  </si>
  <si>
    <t>Indicated_Thermal_Efficiency_%</t>
  </si>
  <si>
    <t>Equivalence_Ratio</t>
  </si>
  <si>
    <t>Peak_Pressure_CAD</t>
  </si>
  <si>
    <t>Max_Temperature_K</t>
  </si>
  <si>
    <t>Max_Temperature_CAD</t>
  </si>
  <si>
    <t>Peak_Heat_Release_Rate_J_deg</t>
  </si>
  <si>
    <t>Peak_Heat_Release_Rate_CAD</t>
  </si>
  <si>
    <t>Adiabatic_Flame_Temperature_K</t>
  </si>
  <si>
    <t xml:space="preserve">NOx_ppm </t>
  </si>
  <si>
    <t>Total_Particulate_Mass_Concentration_g_m3</t>
  </si>
  <si>
    <t>The Influence of Fatty Acid Ester Alcohol Moiety Molecular Structure on Diesel Combustion and Emissions</t>
  </si>
  <si>
    <t>reference fossil diesel</t>
  </si>
  <si>
    <t>N</t>
  </si>
  <si>
    <t>diesel</t>
  </si>
  <si>
    <t>FD-RH diesel</t>
  </si>
  <si>
    <t>Constant injection timing (SOI 7.5 CAD BTDC)</t>
  </si>
  <si>
    <t>Constant ignition timing (SOC 0 CAD BTDC)</t>
  </si>
  <si>
    <t>methyl oleate</t>
  </si>
  <si>
    <t>Y</t>
  </si>
  <si>
    <t>fatty acid ester</t>
  </si>
  <si>
    <t>methyl stearate</t>
  </si>
  <si>
    <t>ethyl stearate</t>
  </si>
  <si>
    <t>n-propyl stearate</t>
  </si>
  <si>
    <t>Graphical data</t>
  </si>
  <si>
    <t>n-butyl stearate</t>
  </si>
  <si>
    <t>Data available but not readable</t>
  </si>
  <si>
    <t>iso-propyl stearate</t>
  </si>
  <si>
    <t>iso-butyl stearate</t>
  </si>
  <si>
    <t>tert-butyl stearate</t>
  </si>
  <si>
    <t>n-alkane</t>
  </si>
  <si>
    <t xml:space="preserve"> Combustion and emissions characterization of terpenes
 with a view to their biological production in cyanobacteria</t>
  </si>
  <si>
    <t>Combustion and emissions characterization of terpenes with a view to their biological production in cyanobacteria</t>
  </si>
  <si>
    <t xml:space="preserve"> geraniol</t>
  </si>
  <si>
    <t>terpene</t>
  </si>
  <si>
    <t>nerol</t>
  </si>
  <si>
    <t>citronellol</t>
  </si>
  <si>
    <t>3,7-dimethyl-1-octanol</t>
  </si>
  <si>
    <t>linalool</t>
  </si>
  <si>
    <t>DNC</t>
  </si>
  <si>
    <t>geranyl acetate</t>
  </si>
  <si>
    <t>geranial (citral-A)</t>
  </si>
  <si>
    <t>citraldimethylacetal</t>
  </si>
  <si>
    <t>(-)-b-Citronellene</t>
  </si>
  <si>
    <t>L-menthol</t>
  </si>
  <si>
    <t>farnesene (mixtureof isomers)</t>
  </si>
  <si>
    <t>squalene</t>
  </si>
  <si>
    <t>5.0% farnesene</t>
  </si>
  <si>
    <t>terpene and reference diesel blend</t>
  </si>
  <si>
    <t>10.1% farnesene</t>
  </si>
  <si>
    <t>20.3% farnesene</t>
  </si>
  <si>
    <t>40.0% farnesene</t>
  </si>
  <si>
    <t>41.2% farnesene</t>
  </si>
  <si>
    <t>59.9% farnesene</t>
  </si>
  <si>
    <t>7.8% geranial</t>
  </si>
  <si>
    <t>10.0% geranial</t>
  </si>
  <si>
    <t>20.3% geranial</t>
  </si>
  <si>
    <t>40.0% geranial</t>
  </si>
  <si>
    <t>50.0% geranial</t>
  </si>
  <si>
    <t>60.0% geranial</t>
  </si>
  <si>
    <t>farnesene(mixtureof isomers)</t>
  </si>
  <si>
    <t>Combustion and emissions characteristics of toluene/n-heptane and 1-octene/n-octane binary mixtures in a direct injection compression ignition engine</t>
  </si>
  <si>
    <t>alkane</t>
  </si>
  <si>
    <t>5.0% toluene/95.0% n-heptane</t>
  </si>
  <si>
    <t>toluene and n-heptane blend</t>
  </si>
  <si>
    <t>10.1% toluene/89.9% n-heptane</t>
  </si>
  <si>
    <t>25.0% toluene/75.0% n-heptane</t>
  </si>
  <si>
    <t>35.0.0% toluene/65.0% n-heptane</t>
  </si>
  <si>
    <t>35.1% toluene/64.9% n-heptane</t>
  </si>
  <si>
    <t>40.0% toluene/60.0% n-heptane</t>
  </si>
  <si>
    <t>46.3% toluene/53.7% n-heptane</t>
  </si>
  <si>
    <t>50.0% toluene/50.0% n-heptane</t>
  </si>
  <si>
    <t>52.2% toluene/47.8% n-heptane</t>
  </si>
  <si>
    <t>10.0% toluene/90.0% n-heptane</t>
  </si>
  <si>
    <t>19.8% toluene/80.2% n-heptane</t>
  </si>
  <si>
    <t>30.9% toluene/69.1% n-heptane</t>
  </si>
  <si>
    <t>10.0% 1-octene/90.0% n-octane</t>
  </si>
  <si>
    <t>1-octene and n-octane blend</t>
  </si>
  <si>
    <t>25.0% 1-octene/75.0% n-octane</t>
  </si>
  <si>
    <t>50.0% 1-octene/50.0% n-octane</t>
  </si>
  <si>
    <t>63.1% 1-octene/36.9% n-octane</t>
  </si>
  <si>
    <t>75.0% 1-octene/25.0% n-octane</t>
  </si>
  <si>
    <t>87.5% 1-octene/12.5% n-octane</t>
  </si>
  <si>
    <t>95.5% 1-octene/4.5% n-octane</t>
  </si>
  <si>
    <t xml:space="preserve"> 1-octene</t>
  </si>
  <si>
    <t>alkene</t>
  </si>
  <si>
    <t>CIN Ignition_Delay_CAD</t>
  </si>
  <si>
    <t>CIN Injection Timing (CAD BTDC)</t>
  </si>
  <si>
    <t>CIN Indicated_thermal_efficiency</t>
  </si>
  <si>
    <t>CIN Injection duration_(mu_s)</t>
  </si>
  <si>
    <t>CIN Peak_Pressure_bar</t>
  </si>
  <si>
    <t>CIN Peak_HRR_J_deg</t>
  </si>
  <si>
    <t>CIN NOx_ppm</t>
  </si>
  <si>
    <t>CIN CO_ppm</t>
  </si>
  <si>
    <t>CIN THC_ppm</t>
  </si>
  <si>
    <t>CIN total_particulate_mass_concentration (gm-3)</t>
  </si>
  <si>
    <t>CIN Max-average_temp_(K)</t>
  </si>
  <si>
    <t>CIG Ignition_Delay_CAD</t>
  </si>
  <si>
    <t>CIG Indicated_thermal_efficiency</t>
  </si>
  <si>
    <t>CIG Injection duration_(mu_s)</t>
  </si>
  <si>
    <t>CIG Peak_Pressure_bar</t>
  </si>
  <si>
    <t>CIG Peak_HRR_J_deg</t>
  </si>
  <si>
    <t>CIG NOx_ppm</t>
  </si>
  <si>
    <t>CIG CO_ppm</t>
  </si>
  <si>
    <t>CIG THC_ppm</t>
  </si>
  <si>
    <t>CIG Max-average_temp_(K)</t>
  </si>
  <si>
    <t>CIG total_particulate_mass_concentration (gm-3)</t>
  </si>
  <si>
    <t>The influence of various oxygenated functional groups in carbonyl and ether compounds on compression ignition and exhaust gas emissions</t>
    <phoneticPr fontId="11" type="noConversion"/>
  </si>
  <si>
    <t>2-Octanone</t>
    <phoneticPr fontId="11" type="noConversion"/>
  </si>
  <si>
    <t>2-Nonanone</t>
    <phoneticPr fontId="11" type="noConversion"/>
  </si>
  <si>
    <t>5-Nonanone</t>
    <phoneticPr fontId="11" type="noConversion"/>
  </si>
  <si>
    <t>2-Decanone</t>
    <phoneticPr fontId="11" type="noConversion"/>
  </si>
  <si>
    <t>3-Decanone</t>
    <phoneticPr fontId="11" type="noConversion"/>
  </si>
  <si>
    <t>2-Undecanone</t>
    <phoneticPr fontId="11" type="noConversion"/>
  </si>
  <si>
    <t>yes</t>
    <phoneticPr fontId="11" type="noConversion"/>
  </si>
  <si>
    <t>Ketone</t>
    <phoneticPr fontId="11" type="noConversion"/>
  </si>
  <si>
    <t>Synthetic/Renewable</t>
    <phoneticPr fontId="11" type="noConversion"/>
  </si>
  <si>
    <t>Octanoic acid</t>
  </si>
  <si>
    <t>Nonanoic acid</t>
    <phoneticPr fontId="11" type="noConversion"/>
  </si>
  <si>
    <t>Decanoic acid</t>
    <phoneticPr fontId="11" type="noConversion"/>
  </si>
  <si>
    <t>Undecanoic acid</t>
    <phoneticPr fontId="11" type="noConversion"/>
  </si>
  <si>
    <t>10-Undecenoic acid</t>
    <phoneticPr fontId="11" type="noConversion"/>
  </si>
  <si>
    <t>Dodecanoic acid</t>
  </si>
  <si>
    <t>Hexadecanoic acid</t>
  </si>
  <si>
    <t>Methyl octanoate</t>
  </si>
  <si>
    <t>Methyl nonanoate</t>
  </si>
  <si>
    <t>Methyl decanoate</t>
  </si>
  <si>
    <t>Methyl hexadecanoate</t>
  </si>
  <si>
    <t>Dibutyl ether</t>
  </si>
  <si>
    <t>Ethyl diglyme</t>
  </si>
  <si>
    <t>Dibutoxymethane</t>
  </si>
  <si>
    <t>Nonane</t>
    <phoneticPr fontId="11" type="noConversion"/>
  </si>
  <si>
    <t>no</t>
    <phoneticPr fontId="11" type="noConversion"/>
  </si>
  <si>
    <t>Carboxylic Acid</t>
    <phoneticPr fontId="11" type="noConversion"/>
  </si>
  <si>
    <t>Ester (Biodiesel)</t>
    <phoneticPr fontId="11" type="noConversion"/>
  </si>
  <si>
    <t>Alkane</t>
    <phoneticPr fontId="11" type="noConversion"/>
  </si>
  <si>
    <t>Fossil Diesel</t>
    <phoneticPr fontId="11" type="noConversion"/>
  </si>
  <si>
    <t>Renewable</t>
    <phoneticPr fontId="11" type="noConversion"/>
  </si>
  <si>
    <t>Synthetic/Renewable</t>
  </si>
  <si>
    <t>Fossil</t>
    <phoneticPr fontId="11" type="noConversion"/>
  </si>
  <si>
    <t>0.0563 µg/cc (Mean)</t>
    <phoneticPr fontId="11" type="noConversion"/>
  </si>
  <si>
    <t>boiling_point_C</t>
  </si>
  <si>
    <t>H/C ratio</t>
  </si>
  <si>
    <t>Density at 20 kg_m3</t>
  </si>
  <si>
    <t>Density at 15 kg_m3</t>
  </si>
  <si>
    <t>Kinematic viscosity at 40</t>
  </si>
  <si>
    <t>Dynamic Viscosity at 20 (mPa·s)</t>
  </si>
  <si>
    <t>FAME content</t>
  </si>
  <si>
    <t>IMEP (bar)</t>
  </si>
  <si>
    <t>CIG ignition timing CAD BTDC</t>
  </si>
  <si>
    <t>EHN dosage ppm</t>
  </si>
  <si>
    <t>CID ignition delay at CIN</t>
  </si>
  <si>
    <t>CID Indicated_thermal_efficiency at CIN</t>
  </si>
  <si>
    <t>CID Injection duration_(mu_s) at CIN</t>
  </si>
  <si>
    <t>CID ignition delay at CIG</t>
  </si>
  <si>
    <t>CID Indicated_thermal_efficiency at CIG</t>
  </si>
  <si>
    <t>CID Injection duration_(mu_s) at CIG</t>
  </si>
  <si>
    <t>CID Peak_Pressure_bar</t>
  </si>
  <si>
    <t>CID Peak_HRR_J_deg</t>
  </si>
  <si>
    <t>CID NOx_ppm</t>
  </si>
  <si>
    <t>CID CO_ppm</t>
  </si>
  <si>
    <t>CID THC_ppm</t>
  </si>
  <si>
    <t>CID Max-average_temp_(K)</t>
  </si>
  <si>
    <t>CID total_particulate_mass_concentration (gm-3)</t>
  </si>
  <si>
    <t>Hellier et al. - 2013 - The importance of double bond position and cis–trans isomerisation in diesel combustion and emissions</t>
  </si>
  <si>
    <t xml:space="preserve">single cylinder direct injection diesel engine </t>
  </si>
  <si>
    <t>n-octene</t>
  </si>
  <si>
    <t>1-octane</t>
  </si>
  <si>
    <t>trans-2-octene</t>
  </si>
  <si>
    <t>cis-3-octene</t>
  </si>
  <si>
    <t>trans-3-octene</t>
  </si>
  <si>
    <t>Hellier et al. - 2019 - Combustion and emissions characteristics of date pit methyl ester in a single cylinder direct injection diesel engine</t>
  </si>
  <si>
    <t>Oman fossil diesel</t>
  </si>
  <si>
    <t>Date pit methyl ester</t>
  </si>
  <si>
    <t>Rapeseed methyl ester</t>
  </si>
  <si>
    <t>Soybean methyl ester</t>
  </si>
  <si>
    <t>Soybean methyl ester in reference fossil diesel 10</t>
  </si>
  <si>
    <t>Rapeseed methyl ester in reference fossil diesel 9.9</t>
  </si>
  <si>
    <t>Date pit methyl ester in reference fossil diesel 19.8</t>
  </si>
  <si>
    <t>Soybean methyl ester in reference fossil diesel 19.9</t>
  </si>
  <si>
    <t>Rapeseed methyl ester in reference fossil diesel 19.9</t>
  </si>
  <si>
    <t>Hellier et al. - 2013 - Influence of Carbonate Ester Molecular Structure on Compression Ignition Combustion and Emissions</t>
  </si>
  <si>
    <t>dimethyl carbonate</t>
  </si>
  <si>
    <t>diethyl carbonate</t>
  </si>
  <si>
    <t>di-n-butyl carbonate</t>
  </si>
  <si>
    <t>di-1-methyl-propyl carbonate</t>
  </si>
  <si>
    <t>di-2-methyl-propyl carbonate</t>
  </si>
  <si>
    <t>ditert-butyl carbonate</t>
  </si>
  <si>
    <t>Butyl valerate</t>
  </si>
  <si>
    <t>5-nonanone</t>
  </si>
  <si>
    <t>Dynamic_viscosity_at_59.7 (mPa s)</t>
  </si>
  <si>
    <t>Dynamic Viscosity at 19.7 (mPa·s)</t>
  </si>
  <si>
    <t>Density_kg_at 20 m3</t>
  </si>
  <si>
    <t>Biofuel or not</t>
  </si>
  <si>
    <t>is_biofuel</t>
  </si>
  <si>
    <t>Kinematic_Viscosity_mm2_s at 20</t>
  </si>
  <si>
    <t>Density at 20</t>
  </si>
  <si>
    <t>Density_kg_m3 25</t>
  </si>
  <si>
    <t>Injection Timing (CAD bTDC)</t>
  </si>
  <si>
    <t>Dynamic Viscosity @25°C (mPa·s)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</si>
</sst>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Segoe UI"/>
      <family val="2"/>
    </font>
    <font>
      <b/>
      <sz val="13.5"/>
      <color theme="1"/>
      <name val="Segoe UI"/>
      <family val="2"/>
    </font>
    <font>
      <sz val="11"/>
      <color theme="1"/>
      <name val="Calibri"/>
      <family val="3"/>
      <charset val="134"/>
      <scheme val="minor"/>
    </font>
    <font>
      <b/>
      <sz val="13.5"/>
      <name val="Segoe U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</font>
    <font>
      <b/>
      <sz val="9.4499999999999993"/>
      <color theme="1"/>
      <name val="Calibri"/>
      <family val="2"/>
    </font>
    <font>
      <sz val="9"/>
      <name val="Calibri"/>
      <family val="3"/>
      <charset val="134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24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24"/>
      <name val="Segoe UI"/>
      <family val="2"/>
    </font>
    <font>
      <sz val="24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9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/>
    </xf>
    <xf numFmtId="10" fontId="0" fillId="4" borderId="1" xfId="0" applyNumberFormat="1" applyFill="1" applyBorder="1" applyAlignment="1">
      <alignment vertical="center"/>
    </xf>
    <xf numFmtId="0" fontId="1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top"/>
    </xf>
    <xf numFmtId="10" fontId="0" fillId="8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top"/>
    </xf>
    <xf numFmtId="10" fontId="0" fillId="5" borderId="1" xfId="0" applyNumberForma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top"/>
    </xf>
    <xf numFmtId="10" fontId="0" fillId="9" borderId="1" xfId="0" applyNumberFormat="1" applyFill="1" applyBorder="1" applyAlignment="1">
      <alignment vertical="center"/>
    </xf>
    <xf numFmtId="0" fontId="0" fillId="5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1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2" xfId="0" applyBorder="1"/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5" xfId="0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3" borderId="5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4" borderId="5" xfId="0" applyFill="1" applyBorder="1"/>
    <xf numFmtId="0" fontId="0" fillId="2" borderId="5" xfId="0" applyFill="1" applyBorder="1" applyAlignment="1">
      <alignment wrapText="1"/>
    </xf>
    <xf numFmtId="0" fontId="0" fillId="2" borderId="5" xfId="0" applyFill="1" applyBorder="1"/>
    <xf numFmtId="0" fontId="0" fillId="3" borderId="4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/>
    <xf numFmtId="0" fontId="0" fillId="0" borderId="5" xfId="0" applyBorder="1" applyAlignment="1">
      <alignment horizontal="center" vertical="center" wrapText="1"/>
    </xf>
    <xf numFmtId="0" fontId="0" fillId="5" borderId="5" xfId="0" applyFill="1" applyBorder="1"/>
    <xf numFmtId="0" fontId="0" fillId="11" borderId="3" xfId="0" applyFill="1" applyBorder="1" applyAlignment="1">
      <alignment wrapText="1"/>
    </xf>
    <xf numFmtId="0" fontId="0" fillId="5" borderId="2" xfId="0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12" borderId="5" xfId="0" applyFill="1" applyBorder="1"/>
    <xf numFmtId="0" fontId="0" fillId="12" borderId="3" xfId="0" applyFill="1" applyBorder="1"/>
    <xf numFmtId="0" fontId="0" fillId="12" borderId="1" xfId="0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5" borderId="3" xfId="0" applyFill="1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4" xfId="0" applyFill="1" applyBorder="1" applyAlignment="1">
      <alignment wrapText="1"/>
    </xf>
    <xf numFmtId="0" fontId="0" fillId="3" borderId="15" xfId="0" applyFill="1" applyBorder="1"/>
    <xf numFmtId="0" fontId="0" fillId="10" borderId="1" xfId="0" applyFill="1" applyBorder="1"/>
    <xf numFmtId="0" fontId="0" fillId="10" borderId="3" xfId="0" applyFill="1" applyBorder="1"/>
    <xf numFmtId="0" fontId="0" fillId="13" borderId="1" xfId="0" applyFill="1" applyBorder="1"/>
    <xf numFmtId="0" fontId="0" fillId="13" borderId="5" xfId="0" applyFill="1" applyBorder="1"/>
    <xf numFmtId="0" fontId="0" fillId="3" borderId="16" xfId="0" applyFill="1" applyBorder="1" applyAlignment="1">
      <alignment wrapText="1"/>
    </xf>
    <xf numFmtId="0" fontId="0" fillId="3" borderId="4" xfId="0" applyFill="1" applyBorder="1"/>
    <xf numFmtId="0" fontId="0" fillId="3" borderId="17" xfId="0" applyFill="1" applyBorder="1"/>
    <xf numFmtId="0" fontId="0" fillId="2" borderId="10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11" xfId="0" applyFill="1" applyBorder="1"/>
    <xf numFmtId="0" fontId="0" fillId="12" borderId="11" xfId="0" applyFill="1" applyBorder="1"/>
    <xf numFmtId="0" fontId="0" fillId="12" borderId="19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20" xfId="0" applyFill="1" applyBorder="1"/>
    <xf numFmtId="0" fontId="0" fillId="2" borderId="14" xfId="0" applyFill="1" applyBorder="1" applyAlignment="1">
      <alignment wrapText="1"/>
    </xf>
    <xf numFmtId="0" fontId="0" fillId="2" borderId="15" xfId="0" applyFill="1" applyBorder="1"/>
    <xf numFmtId="0" fontId="0" fillId="4" borderId="14" xfId="0" applyFill="1" applyBorder="1"/>
    <xf numFmtId="0" fontId="0" fillId="10" borderId="15" xfId="0" applyFill="1" applyBorder="1"/>
    <xf numFmtId="0" fontId="0" fillId="4" borderId="8" xfId="0" applyFill="1" applyBorder="1"/>
    <xf numFmtId="0" fontId="0" fillId="4" borderId="16" xfId="0" applyFill="1" applyBorder="1"/>
    <xf numFmtId="0" fontId="0" fillId="4" borderId="4" xfId="0" applyFill="1" applyBorder="1"/>
    <xf numFmtId="0" fontId="0" fillId="10" borderId="4" xfId="0" applyFill="1" applyBorder="1"/>
    <xf numFmtId="0" fontId="0" fillId="10" borderId="9" xfId="0" applyFill="1" applyBorder="1"/>
    <xf numFmtId="0" fontId="0" fillId="13" borderId="4" xfId="0" applyFill="1" applyBorder="1"/>
    <xf numFmtId="0" fontId="0" fillId="13" borderId="8" xfId="0" applyFill="1" applyBorder="1"/>
    <xf numFmtId="0" fontId="0" fillId="10" borderId="17" xfId="0" applyFill="1" applyBorder="1"/>
    <xf numFmtId="0" fontId="0" fillId="12" borderId="9" xfId="0" applyFill="1" applyBorder="1"/>
    <xf numFmtId="0" fontId="0" fillId="12" borderId="4" xfId="0" applyFill="1" applyBorder="1"/>
    <xf numFmtId="0" fontId="0" fillId="12" borderId="4" xfId="0" applyFill="1" applyBorder="1" applyAlignment="1">
      <alignment wrapText="1"/>
    </xf>
    <xf numFmtId="0" fontId="0" fillId="12" borderId="8" xfId="0" applyFill="1" applyBorder="1"/>
    <xf numFmtId="0" fontId="0" fillId="11" borderId="4" xfId="0" applyFill="1" applyBorder="1"/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6" fillId="11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 wrapText="1"/>
    </xf>
    <xf numFmtId="0" fontId="16" fillId="13" borderId="0" xfId="0" applyFont="1" applyFill="1"/>
    <xf numFmtId="0" fontId="16" fillId="13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13" borderId="3" xfId="0" applyFont="1" applyFill="1" applyBorder="1" applyAlignment="1">
      <alignment horizontal="left" vertical="center"/>
    </xf>
    <xf numFmtId="0" fontId="16" fillId="11" borderId="3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/>
    </xf>
    <xf numFmtId="0" fontId="16" fillId="14" borderId="5" xfId="0" applyFont="1" applyFill="1" applyBorder="1" applyAlignment="1">
      <alignment horizontal="left" vertical="center" wrapText="1"/>
    </xf>
    <xf numFmtId="0" fontId="16" fillId="14" borderId="14" xfId="0" applyFont="1" applyFill="1" applyBorder="1" applyAlignment="1">
      <alignment horizontal="left" vertical="center" wrapText="1"/>
    </xf>
    <xf numFmtId="0" fontId="16" fillId="14" borderId="5" xfId="0" applyFont="1" applyFill="1" applyBorder="1" applyAlignment="1">
      <alignment horizontal="left" vertical="center"/>
    </xf>
    <xf numFmtId="0" fontId="16" fillId="14" borderId="4" xfId="0" applyFont="1" applyFill="1" applyBorder="1" applyAlignment="1">
      <alignment horizontal="left" vertical="center" wrapText="1"/>
    </xf>
    <xf numFmtId="0" fontId="16" fillId="13" borderId="4" xfId="0" applyFont="1" applyFill="1" applyBorder="1" applyAlignment="1">
      <alignment horizontal="left" vertical="center" wrapText="1"/>
    </xf>
    <xf numFmtId="0" fontId="16" fillId="14" borderId="4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left" vertical="center" wrapText="1"/>
    </xf>
    <xf numFmtId="0" fontId="16" fillId="14" borderId="18" xfId="0" applyFont="1" applyFill="1" applyBorder="1" applyAlignment="1">
      <alignment horizontal="left" vertical="center" wrapText="1"/>
    </xf>
    <xf numFmtId="0" fontId="16" fillId="13" borderId="11" xfId="0" applyFont="1" applyFill="1" applyBorder="1" applyAlignment="1">
      <alignment horizontal="left" vertical="center"/>
    </xf>
    <xf numFmtId="0" fontId="16" fillId="14" borderId="11" xfId="0" applyFont="1" applyFill="1" applyBorder="1" applyAlignment="1">
      <alignment horizontal="left" vertical="center"/>
    </xf>
    <xf numFmtId="0" fontId="16" fillId="14" borderId="19" xfId="0" applyFont="1" applyFill="1" applyBorder="1" applyAlignment="1">
      <alignment horizontal="left" vertical="center" wrapText="1"/>
    </xf>
    <xf numFmtId="0" fontId="16" fillId="14" borderId="11" xfId="0" applyFont="1" applyFill="1" applyBorder="1" applyAlignment="1">
      <alignment horizontal="left" vertical="center" wrapText="1"/>
    </xf>
    <xf numFmtId="0" fontId="16" fillId="14" borderId="18" xfId="0" applyFont="1" applyFill="1" applyBorder="1" applyAlignment="1">
      <alignment horizontal="left" vertical="center"/>
    </xf>
    <xf numFmtId="0" fontId="16" fillId="14" borderId="3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0" fontId="16" fillId="13" borderId="5" xfId="0" applyFont="1" applyFill="1" applyBorder="1" applyAlignment="1">
      <alignment horizontal="left" vertical="center"/>
    </xf>
    <xf numFmtId="0" fontId="16" fillId="3" borderId="14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left" vertical="center"/>
    </xf>
    <xf numFmtId="0" fontId="16" fillId="15" borderId="10" xfId="0" applyFont="1" applyFill="1" applyBorder="1" applyAlignment="1">
      <alignment horizontal="center" vertical="center" wrapText="1"/>
    </xf>
    <xf numFmtId="0" fontId="16" fillId="15" borderId="11" xfId="0" applyFont="1" applyFill="1" applyBorder="1" applyAlignment="1">
      <alignment horizontal="center" vertical="center" wrapText="1"/>
    </xf>
    <xf numFmtId="0" fontId="16" fillId="15" borderId="12" xfId="0" applyFont="1" applyFill="1" applyBorder="1" applyAlignment="1">
      <alignment horizontal="center" vertical="center" wrapText="1"/>
    </xf>
    <xf numFmtId="0" fontId="16" fillId="15" borderId="2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6" fillId="16" borderId="5" xfId="0" applyFont="1" applyFill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0" fontId="16" fillId="18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4"/>
  <sheetViews>
    <sheetView tabSelected="1" zoomScale="56" zoomScaleNormal="56" workbookViewId="0">
      <selection activeCell="AU4" sqref="AU4:AV6"/>
    </sheetView>
  </sheetViews>
  <sheetFormatPr defaultRowHeight="14.5"/>
  <cols>
    <col min="1" max="1" width="29.453125" customWidth="1"/>
    <col min="2" max="2" width="16.453125" customWidth="1"/>
    <col min="3" max="3" width="21.08984375" customWidth="1"/>
    <col min="4" max="4" width="10.90625" customWidth="1"/>
    <col min="10" max="10" width="10.453125" customWidth="1"/>
    <col min="12" max="12" width="13.26953125" customWidth="1"/>
    <col min="13" max="13" width="9.7265625" bestFit="1" customWidth="1"/>
    <col min="17" max="17" width="11.08984375" customWidth="1"/>
    <col min="23" max="23" width="13.26953125" customWidth="1"/>
    <col min="25" max="25" width="7.26953125" customWidth="1"/>
    <col min="26" max="26" width="8.7265625" customWidth="1"/>
    <col min="32" max="32" width="11.90625" customWidth="1"/>
    <col min="38" max="38" width="13" bestFit="1" customWidth="1"/>
    <col min="43" max="43" width="12.453125" customWidth="1"/>
    <col min="44" max="44" width="8.90625" style="40"/>
    <col min="48" max="48" width="11.453125" customWidth="1"/>
  </cols>
  <sheetData>
    <row r="1" spans="1:48" ht="67.150000000000006" customHeight="1">
      <c r="A1" s="6" t="s">
        <v>0</v>
      </c>
      <c r="B1" s="6" t="s">
        <v>1</v>
      </c>
      <c r="C1" s="6" t="s">
        <v>2</v>
      </c>
      <c r="D1" s="10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0" t="s">
        <v>10</v>
      </c>
      <c r="L1" s="6" t="s">
        <v>447</v>
      </c>
      <c r="M1" s="6" t="s">
        <v>446</v>
      </c>
      <c r="N1" s="1" t="s">
        <v>445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115" t="s">
        <v>20</v>
      </c>
      <c r="W1" s="126" t="s">
        <v>342</v>
      </c>
      <c r="X1" s="127" t="s">
        <v>341</v>
      </c>
      <c r="Y1" s="128" t="s">
        <v>343</v>
      </c>
      <c r="Z1" s="127" t="s">
        <v>344</v>
      </c>
      <c r="AA1" s="127" t="s">
        <v>345</v>
      </c>
      <c r="AB1" s="127" t="s">
        <v>346</v>
      </c>
      <c r="AC1" s="127" t="s">
        <v>347</v>
      </c>
      <c r="AD1" s="127" t="s">
        <v>348</v>
      </c>
      <c r="AE1" s="127" t="s">
        <v>349</v>
      </c>
      <c r="AF1" s="128" t="s">
        <v>350</v>
      </c>
      <c r="AG1" s="129" t="s">
        <v>351</v>
      </c>
      <c r="AH1" s="124" t="s">
        <v>352</v>
      </c>
      <c r="AI1" s="98" t="s">
        <v>353</v>
      </c>
      <c r="AJ1" s="97" t="s">
        <v>354</v>
      </c>
      <c r="AK1" s="97" t="s">
        <v>355</v>
      </c>
      <c r="AL1" s="97" t="s">
        <v>356</v>
      </c>
      <c r="AM1" s="97" t="s">
        <v>357</v>
      </c>
      <c r="AN1" s="97" t="s">
        <v>358</v>
      </c>
      <c r="AO1" s="115" t="s">
        <v>359</v>
      </c>
      <c r="AP1" s="98" t="s">
        <v>360</v>
      </c>
      <c r="AQ1" s="98" t="s">
        <v>361</v>
      </c>
      <c r="AR1" s="113" t="s">
        <v>26</v>
      </c>
    </row>
    <row r="2" spans="1:48" ht="102.5">
      <c r="A2" s="19" t="s">
        <v>27</v>
      </c>
      <c r="B2" s="20" t="s">
        <v>28</v>
      </c>
      <c r="C2" s="20" t="s">
        <v>29</v>
      </c>
      <c r="D2" s="119"/>
      <c r="E2" s="20">
        <v>66.5</v>
      </c>
      <c r="F2" s="20">
        <v>0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834.5</v>
      </c>
      <c r="M2" s="20">
        <v>3.41</v>
      </c>
      <c r="N2" s="20">
        <v>1.72</v>
      </c>
      <c r="O2" s="20" t="s">
        <v>30</v>
      </c>
      <c r="P2" s="20">
        <v>43.14</v>
      </c>
      <c r="Q2" s="120"/>
      <c r="R2" s="20">
        <v>51.7</v>
      </c>
      <c r="S2" s="120"/>
      <c r="T2" s="22" t="s">
        <v>31</v>
      </c>
      <c r="U2" s="20">
        <v>1200</v>
      </c>
      <c r="V2" s="105">
        <v>450</v>
      </c>
      <c r="W2" s="130">
        <v>7.5</v>
      </c>
      <c r="X2" s="20">
        <v>7.2</v>
      </c>
      <c r="Y2" s="20">
        <v>42.97</v>
      </c>
      <c r="Z2" s="20">
        <v>602</v>
      </c>
      <c r="AA2" s="20">
        <v>62</v>
      </c>
      <c r="AB2" s="20">
        <v>155.80000000000001</v>
      </c>
      <c r="AC2" s="21">
        <v>622.6</v>
      </c>
      <c r="AD2" s="21">
        <v>532.71001816293403</v>
      </c>
      <c r="AE2" s="21">
        <v>326.33576326164899</v>
      </c>
      <c r="AF2" s="21">
        <v>1.1214308307213501E-3</v>
      </c>
      <c r="AG2" s="131">
        <v>1414.5631067961101</v>
      </c>
      <c r="AH2" s="125">
        <v>7.1</v>
      </c>
      <c r="AI2" s="106">
        <v>42.81</v>
      </c>
      <c r="AJ2" s="106">
        <v>604</v>
      </c>
      <c r="AK2" s="106">
        <v>60.769230769230703</v>
      </c>
      <c r="AL2" s="107">
        <v>154.298642533936</v>
      </c>
      <c r="AM2" s="106">
        <v>628.10294968189703</v>
      </c>
      <c r="AN2" s="106">
        <v>532.71001816293403</v>
      </c>
      <c r="AO2" s="116">
        <v>379.46407036783597</v>
      </c>
      <c r="AP2" s="106">
        <v>1412.1844660194099</v>
      </c>
      <c r="AQ2" s="106">
        <v>1.1214308307213501E-3</v>
      </c>
      <c r="AR2" s="117" t="s">
        <v>32</v>
      </c>
    </row>
    <row r="3" spans="1:48" ht="102.5">
      <c r="A3" s="19" t="s">
        <v>27</v>
      </c>
      <c r="B3" s="20" t="s">
        <v>33</v>
      </c>
      <c r="C3" s="20" t="s">
        <v>34</v>
      </c>
      <c r="D3" s="119"/>
      <c r="E3" s="20">
        <v>220</v>
      </c>
      <c r="F3" s="20">
        <v>51</v>
      </c>
      <c r="G3" s="20">
        <v>2</v>
      </c>
      <c r="H3" s="20">
        <v>39</v>
      </c>
      <c r="I3" s="20">
        <v>7</v>
      </c>
      <c r="J3" s="20">
        <v>0</v>
      </c>
      <c r="K3" s="20">
        <v>0.51600000000000001</v>
      </c>
      <c r="L3" s="20">
        <v>912</v>
      </c>
      <c r="M3" s="20">
        <v>79.87</v>
      </c>
      <c r="N3" s="20">
        <v>18.7</v>
      </c>
      <c r="O3" s="20">
        <v>21.04</v>
      </c>
      <c r="P3" s="20">
        <v>35.799999999999997</v>
      </c>
      <c r="Q3" s="120"/>
      <c r="R3" s="20" t="s">
        <v>30</v>
      </c>
      <c r="S3" s="120"/>
      <c r="T3" s="22" t="s">
        <v>31</v>
      </c>
      <c r="U3" s="20">
        <v>1200</v>
      </c>
      <c r="V3" s="105">
        <v>450</v>
      </c>
      <c r="W3" s="130">
        <v>7.5</v>
      </c>
      <c r="X3" s="20">
        <v>6.9</v>
      </c>
      <c r="Y3" s="20">
        <v>41.1</v>
      </c>
      <c r="Z3" s="20">
        <v>737</v>
      </c>
      <c r="AA3" s="20">
        <v>53</v>
      </c>
      <c r="AB3" s="20">
        <v>46.3</v>
      </c>
      <c r="AC3" s="21">
        <v>249.8</v>
      </c>
      <c r="AD3" s="21">
        <v>898.1</v>
      </c>
      <c r="AE3" s="21">
        <v>570.70000000000005</v>
      </c>
      <c r="AF3" s="20">
        <v>0.31364982603444702</v>
      </c>
      <c r="AG3" s="131">
        <v>1325.87378640776</v>
      </c>
      <c r="AH3" s="125">
        <v>6.8</v>
      </c>
      <c r="AI3" s="106">
        <v>40.21</v>
      </c>
      <c r="AJ3" s="106">
        <v>743</v>
      </c>
      <c r="AK3" s="106">
        <v>52.769230769230703</v>
      </c>
      <c r="AL3" s="107">
        <v>46.465934065934</v>
      </c>
      <c r="AM3" s="106">
        <v>241.60442019862899</v>
      </c>
      <c r="AN3" s="106">
        <v>1003.5444795014701</v>
      </c>
      <c r="AO3" s="116">
        <v>883.478128184051</v>
      </c>
      <c r="AP3" s="118">
        <v>1322.8155339805801</v>
      </c>
      <c r="AQ3" s="106">
        <v>0.343566150041694</v>
      </c>
      <c r="AR3" s="112" t="s">
        <v>35</v>
      </c>
    </row>
    <row r="4" spans="1:48" ht="102.5">
      <c r="A4" s="19" t="s">
        <v>27</v>
      </c>
      <c r="B4" s="20" t="s">
        <v>36</v>
      </c>
      <c r="C4" s="20" t="s">
        <v>34</v>
      </c>
      <c r="D4" s="119"/>
      <c r="E4" s="20">
        <v>277</v>
      </c>
      <c r="F4" s="20">
        <v>12.55</v>
      </c>
      <c r="G4" s="20">
        <v>2.15</v>
      </c>
      <c r="H4" s="20">
        <v>31.1</v>
      </c>
      <c r="I4" s="20">
        <v>51.45</v>
      </c>
      <c r="J4" s="20">
        <v>1</v>
      </c>
      <c r="K4" s="21">
        <v>0.56100000000000005</v>
      </c>
      <c r="L4" s="20">
        <v>916.7</v>
      </c>
      <c r="M4" s="20">
        <v>66.569999999999993</v>
      </c>
      <c r="N4" s="20">
        <v>16.7</v>
      </c>
      <c r="O4" s="20">
        <v>30</v>
      </c>
      <c r="P4" s="20">
        <v>39.5</v>
      </c>
      <c r="Q4" s="120"/>
      <c r="R4" s="20">
        <v>37.6</v>
      </c>
      <c r="S4" s="120"/>
      <c r="T4" s="22" t="s">
        <v>31</v>
      </c>
      <c r="U4" s="20">
        <v>1200</v>
      </c>
      <c r="V4" s="105">
        <v>450</v>
      </c>
      <c r="W4" s="130">
        <v>7.5</v>
      </c>
      <c r="X4" s="20">
        <v>7.7</v>
      </c>
      <c r="Y4" s="20">
        <v>37.07</v>
      </c>
      <c r="Z4" s="20">
        <v>752</v>
      </c>
      <c r="AA4" s="20">
        <v>52</v>
      </c>
      <c r="AB4" s="20">
        <v>45.1</v>
      </c>
      <c r="AC4" s="21">
        <v>234.9</v>
      </c>
      <c r="AD4" s="21">
        <v>1018.6</v>
      </c>
      <c r="AE4" s="21">
        <v>566.79999999999995</v>
      </c>
      <c r="AF4" s="21">
        <v>0.43733502027201798</v>
      </c>
      <c r="AG4" s="131">
        <v>1316.3592233009699</v>
      </c>
      <c r="AH4" s="125">
        <v>7.5</v>
      </c>
      <c r="AI4" s="106">
        <v>36.880000000000003</v>
      </c>
      <c r="AJ4" s="106">
        <v>754</v>
      </c>
      <c r="AK4" s="106">
        <v>52.4</v>
      </c>
      <c r="AL4" s="107">
        <v>46.061538461538397</v>
      </c>
      <c r="AM4" s="106">
        <v>236.542173730591</v>
      </c>
      <c r="AN4" s="106">
        <v>1056.2553836612301</v>
      </c>
      <c r="AO4" s="116">
        <v>713.78807940500303</v>
      </c>
      <c r="AP4" s="106">
        <v>1319.7572815533899</v>
      </c>
      <c r="AQ4" s="106">
        <v>0.45229318227564103</v>
      </c>
      <c r="AR4" s="113" t="s">
        <v>37</v>
      </c>
      <c r="AU4" s="107"/>
      <c r="AV4" s="1" t="s">
        <v>38</v>
      </c>
    </row>
    <row r="5" spans="1:48" ht="102.5">
      <c r="A5" s="19" t="s">
        <v>27</v>
      </c>
      <c r="B5" s="20" t="s">
        <v>39</v>
      </c>
      <c r="C5" s="20" t="s">
        <v>34</v>
      </c>
      <c r="D5" s="119"/>
      <c r="E5" s="20">
        <v>271</v>
      </c>
      <c r="F5" s="20">
        <v>10</v>
      </c>
      <c r="G5" s="20">
        <v>4</v>
      </c>
      <c r="H5" s="20">
        <v>51.75</v>
      </c>
      <c r="I5" s="20">
        <v>28</v>
      </c>
      <c r="J5" s="20">
        <v>0</v>
      </c>
      <c r="K5" s="21">
        <v>0.54400000000000004</v>
      </c>
      <c r="L5" s="20">
        <v>902.6</v>
      </c>
      <c r="M5" s="20">
        <v>86.7</v>
      </c>
      <c r="N5" s="20">
        <v>19.87</v>
      </c>
      <c r="O5" s="20" t="s">
        <v>30</v>
      </c>
      <c r="P5" s="20">
        <v>39.799999999999997</v>
      </c>
      <c r="Q5" s="120"/>
      <c r="R5" s="20">
        <v>41.8</v>
      </c>
      <c r="S5" s="120"/>
      <c r="T5" s="22" t="s">
        <v>31</v>
      </c>
      <c r="U5" s="20">
        <v>1200</v>
      </c>
      <c r="V5" s="105">
        <v>450</v>
      </c>
      <c r="W5" s="130">
        <v>7.5</v>
      </c>
      <c r="X5" s="20">
        <v>7.1</v>
      </c>
      <c r="Y5" s="20">
        <v>36.5</v>
      </c>
      <c r="Z5" s="20">
        <v>746</v>
      </c>
      <c r="AA5" s="20">
        <v>52.3</v>
      </c>
      <c r="AB5" s="20">
        <v>47.2</v>
      </c>
      <c r="AC5" s="21">
        <v>242.5</v>
      </c>
      <c r="AD5" s="21">
        <v>950.9</v>
      </c>
      <c r="AE5" s="21">
        <v>613.4</v>
      </c>
      <c r="AF5" s="21">
        <v>0.34163383845645101</v>
      </c>
      <c r="AG5" s="131">
        <v>1319.7572815533899</v>
      </c>
      <c r="AH5" s="125">
        <v>7.1</v>
      </c>
      <c r="AI5" s="106">
        <v>36.28</v>
      </c>
      <c r="AJ5" s="106">
        <v>743</v>
      </c>
      <c r="AK5" s="106">
        <v>53.384615384615302</v>
      </c>
      <c r="AL5" s="107">
        <v>47.450549450549403</v>
      </c>
      <c r="AM5" s="106">
        <v>233.10532941670101</v>
      </c>
      <c r="AN5" s="106">
        <v>999.42951649184602</v>
      </c>
      <c r="AO5" s="116">
        <v>713.39430304044504</v>
      </c>
      <c r="AP5" s="106">
        <v>1317.37864077669</v>
      </c>
      <c r="AQ5" s="106">
        <v>0.37321218046409899</v>
      </c>
      <c r="AR5" s="113" t="s">
        <v>40</v>
      </c>
      <c r="AU5" s="119"/>
      <c r="AV5" s="1" t="s">
        <v>41</v>
      </c>
    </row>
    <row r="6" spans="1:48" ht="102.5">
      <c r="A6" s="19" t="s">
        <v>27</v>
      </c>
      <c r="B6" s="20" t="s">
        <v>42</v>
      </c>
      <c r="C6" s="20" t="s">
        <v>34</v>
      </c>
      <c r="D6" s="119"/>
      <c r="E6" s="20">
        <v>330</v>
      </c>
      <c r="F6" s="20">
        <v>43.5</v>
      </c>
      <c r="G6" s="20">
        <v>4.5</v>
      </c>
      <c r="H6" s="20">
        <v>40</v>
      </c>
      <c r="I6" s="20">
        <v>53</v>
      </c>
      <c r="J6" s="20">
        <v>9</v>
      </c>
      <c r="K6" s="21">
        <v>0.53500000000000003</v>
      </c>
      <c r="L6" s="20">
        <v>910</v>
      </c>
      <c r="M6" s="20">
        <v>87.67</v>
      </c>
      <c r="N6" s="20">
        <v>19.399999999999999</v>
      </c>
      <c r="O6" s="20">
        <v>30.7</v>
      </c>
      <c r="P6" s="20">
        <v>36.54</v>
      </c>
      <c r="Q6" s="120"/>
      <c r="R6" s="20">
        <v>42</v>
      </c>
      <c r="S6" s="120"/>
      <c r="T6" s="22" t="s">
        <v>31</v>
      </c>
      <c r="U6" s="20">
        <v>1200</v>
      </c>
      <c r="V6" s="105">
        <v>450</v>
      </c>
      <c r="W6" s="130">
        <v>7.5</v>
      </c>
      <c r="X6" s="20">
        <v>6.9</v>
      </c>
      <c r="Y6" s="20">
        <v>39.94</v>
      </c>
      <c r="Z6" s="20">
        <v>747</v>
      </c>
      <c r="AA6" s="20">
        <v>52.1</v>
      </c>
      <c r="AB6" s="20">
        <v>47.5</v>
      </c>
      <c r="AC6" s="21">
        <v>239.1</v>
      </c>
      <c r="AD6" s="21">
        <v>889.9</v>
      </c>
      <c r="AE6" s="21">
        <v>592.70000000000005</v>
      </c>
      <c r="AF6" s="21">
        <v>0.26589987635506201</v>
      </c>
      <c r="AG6" s="131">
        <v>1311.60194174757</v>
      </c>
      <c r="AH6" s="125">
        <v>6.8</v>
      </c>
      <c r="AI6" s="106">
        <v>39.44</v>
      </c>
      <c r="AJ6" s="106">
        <v>747</v>
      </c>
      <c r="AK6" s="106">
        <v>51.661538461538399</v>
      </c>
      <c r="AL6" s="107">
        <v>47.2043956043956</v>
      </c>
      <c r="AM6" s="106">
        <v>228.052874527906</v>
      </c>
      <c r="AN6" s="106">
        <v>945.92318407568303</v>
      </c>
      <c r="AO6" s="116">
        <v>659.89584615157401</v>
      </c>
      <c r="AP6" s="106">
        <v>1305.14563106796</v>
      </c>
      <c r="AQ6" s="106">
        <v>0.30411478850964702</v>
      </c>
      <c r="AR6" s="114"/>
      <c r="AU6" s="132"/>
      <c r="AV6" s="1" t="s">
        <v>43</v>
      </c>
    </row>
    <row r="7" spans="1:48" ht="102.5">
      <c r="A7" s="19" t="s">
        <v>27</v>
      </c>
      <c r="B7" s="20" t="s">
        <v>44</v>
      </c>
      <c r="C7" s="20" t="s">
        <v>34</v>
      </c>
      <c r="D7" s="119"/>
      <c r="E7" s="20">
        <v>246</v>
      </c>
      <c r="F7" s="20">
        <v>4.6500000000000004</v>
      </c>
      <c r="G7" s="20">
        <v>5</v>
      </c>
      <c r="H7" s="20">
        <v>58.5</v>
      </c>
      <c r="I7" s="20">
        <v>21.5</v>
      </c>
      <c r="J7" s="20">
        <v>10.5</v>
      </c>
      <c r="K7" s="21">
        <v>0.55500000000000005</v>
      </c>
      <c r="L7" s="20">
        <v>914.5</v>
      </c>
      <c r="M7" s="20">
        <v>73.97</v>
      </c>
      <c r="N7" s="20">
        <v>18</v>
      </c>
      <c r="O7" s="20">
        <v>28</v>
      </c>
      <c r="P7" s="20">
        <v>39.700000000000003</v>
      </c>
      <c r="Q7" s="120"/>
      <c r="R7" s="20">
        <v>37.6</v>
      </c>
      <c r="S7" s="120"/>
      <c r="T7" s="22" t="s">
        <v>31</v>
      </c>
      <c r="U7" s="20">
        <v>1200</v>
      </c>
      <c r="V7" s="105">
        <v>450</v>
      </c>
      <c r="W7" s="130">
        <v>7.5</v>
      </c>
      <c r="X7" s="20">
        <v>7.7</v>
      </c>
      <c r="Y7" s="20">
        <v>36.869999999999997</v>
      </c>
      <c r="Z7" s="20">
        <v>764</v>
      </c>
      <c r="AA7" s="20">
        <v>51.2</v>
      </c>
      <c r="AB7" s="20">
        <v>45.5</v>
      </c>
      <c r="AC7" s="21">
        <v>225.6</v>
      </c>
      <c r="AD7" s="21">
        <v>1040.7</v>
      </c>
      <c r="AE7" s="21">
        <v>545.20000000000005</v>
      </c>
      <c r="AF7" s="21">
        <v>0.495954222618397</v>
      </c>
      <c r="AG7" s="131">
        <v>1301.0679611650401</v>
      </c>
      <c r="AH7" s="125">
        <v>7.7</v>
      </c>
      <c r="AI7" s="106">
        <v>36.590000000000003</v>
      </c>
      <c r="AJ7" s="106">
        <v>759</v>
      </c>
      <c r="AK7" s="106">
        <v>51.538461538461497</v>
      </c>
      <c r="AL7" s="107">
        <v>45.850549450549401</v>
      </c>
      <c r="AM7" s="106">
        <v>228.914533501189</v>
      </c>
      <c r="AN7" s="106">
        <v>1051.75451981433</v>
      </c>
      <c r="AO7" s="116">
        <v>642.90439602088895</v>
      </c>
      <c r="AP7" s="106">
        <v>1305.4854368931999</v>
      </c>
      <c r="AQ7" s="106">
        <v>0.495954222618397</v>
      </c>
      <c r="AR7" s="112"/>
    </row>
    <row r="8" spans="1:48" ht="102.5">
      <c r="A8" s="19" t="s">
        <v>27</v>
      </c>
      <c r="B8" s="20" t="s">
        <v>45</v>
      </c>
      <c r="C8" s="20" t="s">
        <v>34</v>
      </c>
      <c r="D8" s="119"/>
      <c r="E8" s="20">
        <v>254</v>
      </c>
      <c r="F8" s="20">
        <v>10.65</v>
      </c>
      <c r="G8" s="20">
        <v>4</v>
      </c>
      <c r="H8" s="20">
        <v>22</v>
      </c>
      <c r="I8" s="20">
        <v>53</v>
      </c>
      <c r="J8" s="20">
        <v>7.5</v>
      </c>
      <c r="K8" s="21">
        <v>0.55400000000000005</v>
      </c>
      <c r="L8" s="20">
        <v>918.5</v>
      </c>
      <c r="M8" s="20">
        <v>71.900000000000006</v>
      </c>
      <c r="N8" s="20">
        <v>17.600000000000001</v>
      </c>
      <c r="O8" s="20">
        <v>30.7</v>
      </c>
      <c r="P8" s="20">
        <v>39.6</v>
      </c>
      <c r="Q8" s="120"/>
      <c r="R8" s="20">
        <v>37.9</v>
      </c>
      <c r="S8" s="120"/>
      <c r="T8" s="22" t="s">
        <v>31</v>
      </c>
      <c r="U8" s="20">
        <v>1200</v>
      </c>
      <c r="V8" s="105">
        <v>450</v>
      </c>
      <c r="W8" s="130">
        <v>7.5</v>
      </c>
      <c r="X8" s="20">
        <v>7.7</v>
      </c>
      <c r="Y8" s="20">
        <v>37.21</v>
      </c>
      <c r="Z8" s="20">
        <v>760</v>
      </c>
      <c r="AA8" s="20">
        <v>52.9</v>
      </c>
      <c r="AB8" s="20">
        <v>46.3</v>
      </c>
      <c r="AC8" s="21">
        <v>234.2</v>
      </c>
      <c r="AD8" s="21">
        <v>996.5</v>
      </c>
      <c r="AE8" s="21">
        <v>541.29999999999995</v>
      </c>
      <c r="AF8" s="21">
        <v>0.465083244673203</v>
      </c>
      <c r="AG8" s="131">
        <v>1308.8834951456299</v>
      </c>
      <c r="AH8" s="125">
        <v>7.6</v>
      </c>
      <c r="AI8" s="106">
        <v>36.92</v>
      </c>
      <c r="AJ8" s="106">
        <v>761</v>
      </c>
      <c r="AK8" s="106">
        <v>53.753846153846098</v>
      </c>
      <c r="AL8" s="107">
        <v>46.835164835164797</v>
      </c>
      <c r="AM8" s="106">
        <v>236.777171632396</v>
      </c>
      <c r="AN8" s="106">
        <v>1034.77094521094</v>
      </c>
      <c r="AO8" s="116">
        <v>695.59954912606202</v>
      </c>
      <c r="AP8" s="106">
        <v>1314.32038834951</v>
      </c>
      <c r="AQ8" s="106">
        <v>0.48337694453230501</v>
      </c>
      <c r="AR8" s="112"/>
    </row>
    <row r="9" spans="1:48" ht="103" thickBot="1">
      <c r="A9" s="19" t="s">
        <v>27</v>
      </c>
      <c r="B9" s="20" t="s">
        <v>46</v>
      </c>
      <c r="C9" s="20" t="s">
        <v>34</v>
      </c>
      <c r="D9" s="119"/>
      <c r="E9" s="20">
        <v>274</v>
      </c>
      <c r="F9" s="20">
        <v>6.6</v>
      </c>
      <c r="G9" s="20">
        <v>4.5</v>
      </c>
      <c r="H9" s="20">
        <v>27</v>
      </c>
      <c r="I9" s="20">
        <v>61</v>
      </c>
      <c r="J9" s="20">
        <v>0.1</v>
      </c>
      <c r="K9" s="21">
        <v>0.55800000000000005</v>
      </c>
      <c r="L9" s="20">
        <v>916.9</v>
      </c>
      <c r="M9" s="20">
        <v>69.5</v>
      </c>
      <c r="N9" s="20">
        <v>17.2</v>
      </c>
      <c r="O9" s="20">
        <v>30.5</v>
      </c>
      <c r="P9" s="20">
        <v>39.6</v>
      </c>
      <c r="Q9" s="120"/>
      <c r="R9" s="20">
        <v>37.1</v>
      </c>
      <c r="S9" s="120"/>
      <c r="T9" s="22" t="s">
        <v>31</v>
      </c>
      <c r="U9" s="20">
        <v>1200</v>
      </c>
      <c r="V9" s="105">
        <v>450</v>
      </c>
      <c r="W9" s="136">
        <v>7.5</v>
      </c>
      <c r="X9" s="111">
        <v>7.5</v>
      </c>
      <c r="Y9" s="111">
        <v>37.270000000000003</v>
      </c>
      <c r="Z9" s="111">
        <v>756</v>
      </c>
      <c r="AA9" s="111">
        <v>53.8</v>
      </c>
      <c r="AB9" s="111">
        <v>46.2</v>
      </c>
      <c r="AC9" s="137">
        <v>236.4</v>
      </c>
      <c r="AD9" s="137">
        <v>992.7</v>
      </c>
      <c r="AE9" s="137">
        <v>561</v>
      </c>
      <c r="AF9" s="137">
        <v>0.47576271673807302</v>
      </c>
      <c r="AG9" s="138">
        <v>1313.30097087378</v>
      </c>
      <c r="AH9" s="125">
        <v>7.6</v>
      </c>
      <c r="AI9" s="106">
        <v>36.53</v>
      </c>
      <c r="AJ9" s="106">
        <v>750</v>
      </c>
      <c r="AK9" s="106">
        <v>53.876923076922999</v>
      </c>
      <c r="AL9" s="107">
        <v>45.657142857142802</v>
      </c>
      <c r="AM9" s="106">
        <v>239.802769618128</v>
      </c>
      <c r="AN9" s="106">
        <v>1041.0004872982499</v>
      </c>
      <c r="AO9" s="116">
        <v>728.401120293757</v>
      </c>
      <c r="AP9" s="106">
        <v>1316.01941747572</v>
      </c>
      <c r="AQ9" s="106">
        <v>0.49901946688903498</v>
      </c>
      <c r="AR9" s="112"/>
    </row>
    <row r="10" spans="1:48" ht="164">
      <c r="A10" s="15" t="s">
        <v>47</v>
      </c>
      <c r="B10" s="16" t="s">
        <v>48</v>
      </c>
      <c r="C10" s="16" t="s">
        <v>49</v>
      </c>
      <c r="D10" s="17">
        <v>372</v>
      </c>
      <c r="E10" s="120"/>
      <c r="F10" s="120"/>
      <c r="G10" s="120"/>
      <c r="H10" s="120"/>
      <c r="I10" s="120"/>
      <c r="J10" s="120"/>
      <c r="K10" s="16">
        <v>0.44800000000000001</v>
      </c>
      <c r="L10" s="17">
        <f>0.682*1000</f>
        <v>682</v>
      </c>
      <c r="M10" s="16">
        <v>0.39</v>
      </c>
      <c r="N10" s="120"/>
      <c r="O10" s="16">
        <f>0.0198*1000</f>
        <v>19.8</v>
      </c>
      <c r="P10" s="16">
        <v>45</v>
      </c>
      <c r="Q10" s="120"/>
      <c r="R10" s="120"/>
      <c r="S10" s="18">
        <v>0</v>
      </c>
      <c r="T10" s="18" t="s">
        <v>50</v>
      </c>
      <c r="U10" s="16">
        <v>1200</v>
      </c>
      <c r="V10" s="109">
        <v>600</v>
      </c>
      <c r="W10" s="139">
        <v>7.5</v>
      </c>
      <c r="X10" s="140">
        <v>5.3</v>
      </c>
      <c r="Y10" s="141">
        <v>49.4</v>
      </c>
      <c r="Z10" s="142"/>
      <c r="AA10" s="143"/>
      <c r="AB10" s="144">
        <v>65</v>
      </c>
      <c r="AC10" s="144">
        <v>1359.2</v>
      </c>
      <c r="AD10" s="142"/>
      <c r="AE10" s="142"/>
      <c r="AF10" s="141">
        <v>1.9634146341463401E-2</v>
      </c>
      <c r="AG10" s="145">
        <v>1481</v>
      </c>
      <c r="AH10" s="122"/>
      <c r="AI10" s="119"/>
      <c r="AJ10" s="119"/>
      <c r="AK10" s="119"/>
      <c r="AL10" s="120"/>
      <c r="AM10" s="119"/>
      <c r="AN10" s="119"/>
      <c r="AO10" s="121"/>
      <c r="AP10" s="119"/>
      <c r="AQ10" s="119"/>
      <c r="AR10" s="112" t="s">
        <v>51</v>
      </c>
    </row>
    <row r="11" spans="1:48" ht="164">
      <c r="A11" s="15" t="s">
        <v>47</v>
      </c>
      <c r="B11" s="16" t="s">
        <v>52</v>
      </c>
      <c r="C11" s="16" t="s">
        <v>49</v>
      </c>
      <c r="D11" s="17">
        <v>424</v>
      </c>
      <c r="E11" s="119"/>
      <c r="F11" s="119"/>
      <c r="G11" s="119"/>
      <c r="H11" s="119"/>
      <c r="I11" s="119"/>
      <c r="J11" s="119"/>
      <c r="K11" s="17">
        <v>0.45</v>
      </c>
      <c r="L11" s="17">
        <f>0.715*1000</f>
        <v>715</v>
      </c>
      <c r="M11" s="17">
        <v>0.67</v>
      </c>
      <c r="N11" s="119"/>
      <c r="O11" s="17">
        <f>0.0224*1000</f>
        <v>22.4</v>
      </c>
      <c r="P11" s="16">
        <v>45</v>
      </c>
      <c r="Q11" s="119"/>
      <c r="R11" s="119"/>
      <c r="S11" s="18">
        <v>0</v>
      </c>
      <c r="T11" s="18" t="s">
        <v>50</v>
      </c>
      <c r="U11" s="16">
        <v>1200</v>
      </c>
      <c r="V11" s="109">
        <v>600</v>
      </c>
      <c r="W11" s="146">
        <v>7.5</v>
      </c>
      <c r="X11" s="110">
        <v>5.0999999999999996</v>
      </c>
      <c r="Y11" s="17">
        <v>41.4</v>
      </c>
      <c r="Z11" s="119"/>
      <c r="AA11" s="122"/>
      <c r="AB11" s="17">
        <v>60.5</v>
      </c>
      <c r="AC11" s="17">
        <v>1135.3</v>
      </c>
      <c r="AD11" s="119"/>
      <c r="AE11" s="119"/>
      <c r="AF11" s="17">
        <v>2.2073170731707299E-2</v>
      </c>
      <c r="AG11" s="147">
        <v>1450</v>
      </c>
      <c r="AH11" s="122"/>
      <c r="AI11" s="119"/>
      <c r="AJ11" s="119"/>
      <c r="AK11" s="119"/>
      <c r="AL11" s="120"/>
      <c r="AM11" s="119"/>
      <c r="AN11" s="119"/>
      <c r="AO11" s="121"/>
      <c r="AP11" s="119"/>
      <c r="AQ11" s="119"/>
      <c r="AR11" s="112" t="s">
        <v>53</v>
      </c>
    </row>
    <row r="12" spans="1:48" ht="164">
      <c r="A12" s="15" t="s">
        <v>47</v>
      </c>
      <c r="B12" s="16" t="s">
        <v>54</v>
      </c>
      <c r="C12" s="16" t="s">
        <v>49</v>
      </c>
      <c r="D12" s="17">
        <v>447</v>
      </c>
      <c r="E12" s="119"/>
      <c r="F12" s="119"/>
      <c r="G12" s="119"/>
      <c r="H12" s="119"/>
      <c r="I12" s="119"/>
      <c r="J12" s="119"/>
      <c r="K12" s="17">
        <v>0.45500000000000002</v>
      </c>
      <c r="L12" s="17">
        <f>0.73*1000</f>
        <v>730</v>
      </c>
      <c r="M12" s="17">
        <v>0.86</v>
      </c>
      <c r="N12" s="119"/>
      <c r="O12" s="17">
        <f>0.0234*1000</f>
        <v>23.400000000000002</v>
      </c>
      <c r="P12" s="16">
        <v>44</v>
      </c>
      <c r="Q12" s="119"/>
      <c r="R12" s="119"/>
      <c r="S12" s="18">
        <v>0</v>
      </c>
      <c r="T12" s="18" t="s">
        <v>50</v>
      </c>
      <c r="U12" s="16">
        <v>1200</v>
      </c>
      <c r="V12" s="109">
        <v>600</v>
      </c>
      <c r="W12" s="146">
        <v>7.5</v>
      </c>
      <c r="X12" s="110">
        <v>4.7</v>
      </c>
      <c r="Y12" s="17">
        <v>40.9</v>
      </c>
      <c r="Z12" s="119"/>
      <c r="AA12" s="122"/>
      <c r="AB12" s="17">
        <v>52.4</v>
      </c>
      <c r="AC12" s="17">
        <v>1069.2</v>
      </c>
      <c r="AD12" s="119"/>
      <c r="AE12" s="119"/>
      <c r="AF12" s="17">
        <v>2.2371489651151402E-2</v>
      </c>
      <c r="AG12" s="147">
        <v>1453</v>
      </c>
      <c r="AH12" s="122"/>
      <c r="AI12" s="119"/>
      <c r="AJ12" s="119"/>
      <c r="AK12" s="119"/>
      <c r="AL12" s="120"/>
      <c r="AM12" s="119"/>
      <c r="AN12" s="119"/>
      <c r="AO12" s="121"/>
      <c r="AP12" s="119"/>
      <c r="AQ12" s="119"/>
      <c r="AR12" s="112" t="s">
        <v>55</v>
      </c>
    </row>
    <row r="13" spans="1:48" ht="164">
      <c r="A13" s="15" t="s">
        <v>47</v>
      </c>
      <c r="B13" s="16" t="s">
        <v>56</v>
      </c>
      <c r="C13" s="17" t="s">
        <v>57</v>
      </c>
      <c r="D13" s="17">
        <v>460</v>
      </c>
      <c r="E13" s="119"/>
      <c r="F13" s="119"/>
      <c r="G13" s="119"/>
      <c r="H13" s="119"/>
      <c r="I13" s="119"/>
      <c r="J13" s="119"/>
      <c r="K13" s="17">
        <v>0.45500000000000002</v>
      </c>
      <c r="L13" s="17">
        <f>0.785*1000</f>
        <v>785</v>
      </c>
      <c r="M13" s="17">
        <v>1.61</v>
      </c>
      <c r="N13" s="119"/>
      <c r="O13" s="17">
        <f>0.0243*1000</f>
        <v>24.299999999999997</v>
      </c>
      <c r="P13" s="16">
        <v>39</v>
      </c>
      <c r="Q13" s="119"/>
      <c r="R13" s="119"/>
      <c r="S13" s="18">
        <v>10.1</v>
      </c>
      <c r="T13" s="18" t="s">
        <v>50</v>
      </c>
      <c r="U13" s="16">
        <v>1200</v>
      </c>
      <c r="V13" s="109">
        <v>600</v>
      </c>
      <c r="W13" s="146">
        <v>7.5</v>
      </c>
      <c r="X13" s="110">
        <v>4.5</v>
      </c>
      <c r="Y13" s="17">
        <v>44.5</v>
      </c>
      <c r="Z13" s="119"/>
      <c r="AA13" s="122"/>
      <c r="AB13" s="17">
        <v>46</v>
      </c>
      <c r="AC13" s="17">
        <v>1288.5</v>
      </c>
      <c r="AD13" s="119"/>
      <c r="AE13" s="119"/>
      <c r="AF13" s="17">
        <v>2.0590321640268101E-2</v>
      </c>
      <c r="AG13" s="147">
        <v>1476</v>
      </c>
      <c r="AH13" s="122"/>
      <c r="AI13" s="119"/>
      <c r="AJ13" s="119"/>
      <c r="AK13" s="119"/>
      <c r="AL13" s="120"/>
      <c r="AM13" s="119"/>
      <c r="AN13" s="119"/>
      <c r="AO13" s="121"/>
      <c r="AP13" s="119"/>
      <c r="AQ13" s="119"/>
      <c r="AR13" s="114"/>
    </row>
    <row r="14" spans="1:48" ht="164">
      <c r="A14" s="15" t="s">
        <v>47</v>
      </c>
      <c r="B14" s="16" t="s">
        <v>58</v>
      </c>
      <c r="C14" s="17" t="s">
        <v>59</v>
      </c>
      <c r="D14" s="17">
        <v>421</v>
      </c>
      <c r="E14" s="119"/>
      <c r="F14" s="119"/>
      <c r="G14" s="119"/>
      <c r="H14" s="119"/>
      <c r="I14" s="119"/>
      <c r="J14" s="119"/>
      <c r="K14" s="17">
        <v>0.5</v>
      </c>
      <c r="L14" s="17">
        <f>0.818*1000</f>
        <v>818</v>
      </c>
      <c r="M14" s="17">
        <v>0.75</v>
      </c>
      <c r="N14" s="119"/>
      <c r="O14" s="17">
        <f>0.0261*1000</f>
        <v>26.1</v>
      </c>
      <c r="P14" s="16">
        <v>36</v>
      </c>
      <c r="Q14" s="119"/>
      <c r="R14" s="119"/>
      <c r="S14" s="17">
        <v>14</v>
      </c>
      <c r="T14" s="18" t="s">
        <v>50</v>
      </c>
      <c r="U14" s="16">
        <v>1200</v>
      </c>
      <c r="V14" s="109">
        <v>600</v>
      </c>
      <c r="W14" s="146">
        <v>7.5</v>
      </c>
      <c r="X14" s="110">
        <v>6.9</v>
      </c>
      <c r="Y14" s="17">
        <v>28.5</v>
      </c>
      <c r="Z14" s="119"/>
      <c r="AA14" s="122"/>
      <c r="AB14" s="17">
        <v>167.6</v>
      </c>
      <c r="AC14" s="17">
        <v>1425</v>
      </c>
      <c r="AD14" s="119"/>
      <c r="AE14" s="119"/>
      <c r="AF14" s="17">
        <v>1.00403264988825E-2</v>
      </c>
      <c r="AG14" s="147">
        <v>1506</v>
      </c>
      <c r="AH14" s="122"/>
      <c r="AI14" s="119"/>
      <c r="AJ14" s="119"/>
      <c r="AK14" s="119"/>
      <c r="AL14" s="120"/>
      <c r="AM14" s="119"/>
      <c r="AN14" s="119"/>
      <c r="AO14" s="121"/>
      <c r="AP14" s="119"/>
      <c r="AQ14" s="119"/>
      <c r="AR14" s="114"/>
    </row>
    <row r="15" spans="1:48" ht="164">
      <c r="A15" s="15" t="s">
        <v>47</v>
      </c>
      <c r="B15" s="16" t="s">
        <v>60</v>
      </c>
      <c r="C15" s="17" t="s">
        <v>59</v>
      </c>
      <c r="D15" s="17">
        <v>462.6</v>
      </c>
      <c r="E15" s="119"/>
      <c r="F15" s="119"/>
      <c r="G15" s="119"/>
      <c r="H15" s="119"/>
      <c r="I15" s="119"/>
      <c r="J15" s="119"/>
      <c r="K15" s="17">
        <v>0.5</v>
      </c>
      <c r="L15" s="17">
        <f>0.826*1000</f>
        <v>826</v>
      </c>
      <c r="M15" s="16"/>
      <c r="N15" s="119"/>
      <c r="O15" s="17">
        <f>0.0265*1000</f>
        <v>26.5</v>
      </c>
      <c r="P15" s="16">
        <v>38</v>
      </c>
      <c r="Q15" s="119"/>
      <c r="R15" s="119"/>
      <c r="S15" s="17">
        <v>11.3</v>
      </c>
      <c r="T15" s="18" t="s">
        <v>50</v>
      </c>
      <c r="U15" s="16">
        <v>1200</v>
      </c>
      <c r="V15" s="109">
        <v>600</v>
      </c>
      <c r="W15" s="146">
        <v>7.5</v>
      </c>
      <c r="X15" s="110">
        <v>5.9</v>
      </c>
      <c r="Y15" s="17">
        <v>41.3</v>
      </c>
      <c r="Z15" s="119"/>
      <c r="AA15" s="122"/>
      <c r="AB15" s="17">
        <v>131</v>
      </c>
      <c r="AC15" s="17">
        <v>1128.7</v>
      </c>
      <c r="AD15" s="119"/>
      <c r="AE15" s="119"/>
      <c r="AF15" s="17">
        <v>1.7439024390243901E-2</v>
      </c>
      <c r="AG15" s="147">
        <v>1467</v>
      </c>
      <c r="AH15" s="122"/>
      <c r="AI15" s="119"/>
      <c r="AJ15" s="119"/>
      <c r="AK15" s="119"/>
      <c r="AL15" s="120"/>
      <c r="AM15" s="119"/>
      <c r="AN15" s="119"/>
      <c r="AO15" s="121"/>
      <c r="AP15" s="119"/>
      <c r="AQ15" s="119"/>
      <c r="AR15" s="114"/>
    </row>
    <row r="16" spans="1:48" ht="164">
      <c r="A16" s="15" t="s">
        <v>47</v>
      </c>
      <c r="B16" s="16" t="s">
        <v>61</v>
      </c>
      <c r="C16" s="17" t="s">
        <v>62</v>
      </c>
      <c r="D16" s="17">
        <v>480</v>
      </c>
      <c r="E16" s="119"/>
      <c r="F16" s="119"/>
      <c r="G16" s="119"/>
      <c r="H16" s="119"/>
      <c r="I16" s="119"/>
      <c r="J16" s="119"/>
      <c r="K16" s="17">
        <v>0.57999999999999996</v>
      </c>
      <c r="L16" s="17">
        <f>1.016*1000</f>
        <v>1016</v>
      </c>
      <c r="M16" s="16"/>
      <c r="N16" s="119"/>
      <c r="O16" s="17">
        <f>0.0307*1000</f>
        <v>30.700000000000003</v>
      </c>
      <c r="P16" s="16">
        <v>24</v>
      </c>
      <c r="Q16" s="119"/>
      <c r="R16" s="119"/>
      <c r="S16" s="17">
        <v>33.299999999999997</v>
      </c>
      <c r="T16" s="18" t="s">
        <v>50</v>
      </c>
      <c r="U16" s="16">
        <v>1200</v>
      </c>
      <c r="V16" s="109">
        <v>600</v>
      </c>
      <c r="W16" s="146">
        <v>7.5</v>
      </c>
      <c r="X16" s="110">
        <v>8</v>
      </c>
      <c r="Y16" s="17">
        <v>44.3</v>
      </c>
      <c r="Z16" s="119"/>
      <c r="AA16" s="122"/>
      <c r="AB16" s="17">
        <v>132.4</v>
      </c>
      <c r="AC16" s="17">
        <v>1300</v>
      </c>
      <c r="AD16" s="119"/>
      <c r="AE16" s="119"/>
      <c r="AF16" s="17">
        <v>1.49727917597901E-2</v>
      </c>
      <c r="AG16" s="147">
        <v>1548</v>
      </c>
      <c r="AH16" s="122"/>
      <c r="AI16" s="119"/>
      <c r="AJ16" s="119"/>
      <c r="AK16" s="119"/>
      <c r="AL16" s="120"/>
      <c r="AM16" s="119"/>
      <c r="AN16" s="119"/>
      <c r="AO16" s="121"/>
      <c r="AP16" s="119"/>
      <c r="AQ16" s="119"/>
      <c r="AR16" s="114"/>
    </row>
    <row r="17" spans="1:44" ht="164">
      <c r="A17" s="15" t="s">
        <v>47</v>
      </c>
      <c r="B17" s="16" t="s">
        <v>63</v>
      </c>
      <c r="C17" s="17" t="s">
        <v>62</v>
      </c>
      <c r="D17" s="17">
        <v>514</v>
      </c>
      <c r="E17" s="119"/>
      <c r="F17" s="119"/>
      <c r="G17" s="119"/>
      <c r="H17" s="119"/>
      <c r="I17" s="119"/>
      <c r="J17" s="119"/>
      <c r="K17" s="17">
        <v>0.56000000000000005</v>
      </c>
      <c r="L17" s="17">
        <f>0.974*1000</f>
        <v>974</v>
      </c>
      <c r="M17" s="16"/>
      <c r="N17" s="119"/>
      <c r="O17" s="17">
        <f>0.0312*1000</f>
        <v>31.2</v>
      </c>
      <c r="P17" s="16">
        <v>28</v>
      </c>
      <c r="Q17" s="119"/>
      <c r="R17" s="119"/>
      <c r="S17" s="17">
        <v>27.9</v>
      </c>
      <c r="T17" s="18" t="s">
        <v>50</v>
      </c>
      <c r="U17" s="16">
        <v>1200</v>
      </c>
      <c r="V17" s="109">
        <v>600</v>
      </c>
      <c r="W17" s="146">
        <v>7.5</v>
      </c>
      <c r="X17" s="110">
        <v>7.4</v>
      </c>
      <c r="Y17" s="17">
        <v>33.700000000000003</v>
      </c>
      <c r="Z17" s="119"/>
      <c r="AA17" s="122"/>
      <c r="AB17" s="17">
        <v>177.4</v>
      </c>
      <c r="AC17" s="17">
        <v>1393</v>
      </c>
      <c r="AD17" s="119"/>
      <c r="AE17" s="119"/>
      <c r="AF17" s="17">
        <v>1.0314352346710701E-2</v>
      </c>
      <c r="AG17" s="147">
        <v>1516</v>
      </c>
      <c r="AH17" s="122"/>
      <c r="AI17" s="119"/>
      <c r="AJ17" s="119"/>
      <c r="AK17" s="119"/>
      <c r="AL17" s="120"/>
      <c r="AM17" s="119"/>
      <c r="AN17" s="119"/>
      <c r="AO17" s="121"/>
      <c r="AP17" s="119"/>
      <c r="AQ17" s="119"/>
      <c r="AR17" s="114"/>
    </row>
    <row r="18" spans="1:44" ht="164">
      <c r="A18" s="15" t="s">
        <v>47</v>
      </c>
      <c r="B18" s="16" t="s">
        <v>64</v>
      </c>
      <c r="C18" s="17" t="s">
        <v>65</v>
      </c>
      <c r="D18" s="17">
        <v>420</v>
      </c>
      <c r="E18" s="119"/>
      <c r="F18" s="119"/>
      <c r="G18" s="119"/>
      <c r="H18" s="119"/>
      <c r="I18" s="119"/>
      <c r="J18" s="119"/>
      <c r="K18" s="17">
        <v>0.5</v>
      </c>
      <c r="L18" s="17">
        <f>0.875*1000</f>
        <v>875</v>
      </c>
      <c r="M18" s="17">
        <v>8.4700000000000006</v>
      </c>
      <c r="N18" s="119"/>
      <c r="O18" s="17">
        <f>0.0267*1000</f>
        <v>26.700000000000003</v>
      </c>
      <c r="P18" s="16">
        <v>31</v>
      </c>
      <c r="Q18" s="119"/>
      <c r="R18" s="119"/>
      <c r="S18" s="17">
        <v>24.6</v>
      </c>
      <c r="T18" s="18" t="s">
        <v>50</v>
      </c>
      <c r="U18" s="16">
        <v>1200</v>
      </c>
      <c r="V18" s="109">
        <v>600</v>
      </c>
      <c r="W18" s="146">
        <v>7.5</v>
      </c>
      <c r="X18" s="110">
        <v>7.8</v>
      </c>
      <c r="Y18" s="17">
        <v>44</v>
      </c>
      <c r="Z18" s="119"/>
      <c r="AA18" s="122"/>
      <c r="AB18" s="17">
        <v>168</v>
      </c>
      <c r="AC18" s="17">
        <v>1394.7</v>
      </c>
      <c r="AD18" s="119"/>
      <c r="AE18" s="119"/>
      <c r="AF18" s="17">
        <v>1.51098046837042E-2</v>
      </c>
      <c r="AG18" s="147">
        <v>1529</v>
      </c>
      <c r="AH18" s="122"/>
      <c r="AI18" s="119"/>
      <c r="AJ18" s="119"/>
      <c r="AK18" s="119"/>
      <c r="AL18" s="120"/>
      <c r="AM18" s="119"/>
      <c r="AN18" s="119"/>
      <c r="AO18" s="121"/>
      <c r="AP18" s="119"/>
      <c r="AQ18" s="119"/>
      <c r="AR18" s="114"/>
    </row>
    <row r="19" spans="1:44" ht="164">
      <c r="A19" s="15" t="s">
        <v>47</v>
      </c>
      <c r="B19" s="16" t="s">
        <v>66</v>
      </c>
      <c r="C19" s="17" t="s">
        <v>65</v>
      </c>
      <c r="D19" s="17">
        <v>462</v>
      </c>
      <c r="E19" s="119"/>
      <c r="F19" s="119"/>
      <c r="G19" s="119"/>
      <c r="H19" s="119"/>
      <c r="I19" s="119"/>
      <c r="J19" s="119"/>
      <c r="K19" s="17">
        <v>0.5</v>
      </c>
      <c r="L19" s="17">
        <f>0.868*1000</f>
        <v>868</v>
      </c>
      <c r="M19" s="16"/>
      <c r="N19" s="119"/>
      <c r="O19" s="17">
        <f>0.0279*1000</f>
        <v>27.900000000000002</v>
      </c>
      <c r="P19" s="16">
        <v>33</v>
      </c>
      <c r="Q19" s="119"/>
      <c r="R19" s="119"/>
      <c r="S19" s="17">
        <v>20.3</v>
      </c>
      <c r="T19" s="18" t="s">
        <v>50</v>
      </c>
      <c r="U19" s="16">
        <v>1200</v>
      </c>
      <c r="V19" s="109">
        <v>600</v>
      </c>
      <c r="W19" s="146">
        <v>7.5</v>
      </c>
      <c r="X19" s="110">
        <v>7.2</v>
      </c>
      <c r="Y19" s="17">
        <v>47.9</v>
      </c>
      <c r="Z19" s="119"/>
      <c r="AA19" s="122"/>
      <c r="AB19" s="17">
        <v>165.6</v>
      </c>
      <c r="AC19" s="17">
        <v>1316</v>
      </c>
      <c r="AD19" s="119"/>
      <c r="AE19" s="119"/>
      <c r="AF19" s="17">
        <v>1.4013701292391399E-2</v>
      </c>
      <c r="AG19" s="147">
        <v>1502</v>
      </c>
      <c r="AH19" s="122"/>
      <c r="AI19" s="119"/>
      <c r="AJ19" s="119"/>
      <c r="AK19" s="119"/>
      <c r="AL19" s="120"/>
      <c r="AM19" s="119"/>
      <c r="AN19" s="119"/>
      <c r="AO19" s="121"/>
      <c r="AP19" s="119"/>
      <c r="AQ19" s="119"/>
      <c r="AR19" s="114"/>
    </row>
    <row r="20" spans="1:44" ht="164">
      <c r="A20" s="15" t="s">
        <v>47</v>
      </c>
      <c r="B20" s="16" t="s">
        <v>67</v>
      </c>
      <c r="C20" s="17" t="s">
        <v>65</v>
      </c>
      <c r="D20" s="17">
        <v>481</v>
      </c>
      <c r="E20" s="119"/>
      <c r="F20" s="119"/>
      <c r="G20" s="119"/>
      <c r="H20" s="119"/>
      <c r="I20" s="119"/>
      <c r="J20" s="119"/>
      <c r="K20" s="17">
        <v>0.5</v>
      </c>
      <c r="L20" s="17">
        <f>0.865*1000</f>
        <v>865</v>
      </c>
      <c r="M20" s="16"/>
      <c r="N20" s="119"/>
      <c r="O20" s="17">
        <f>0.0283*1000</f>
        <v>28.299999999999997</v>
      </c>
      <c r="P20" s="16">
        <v>34</v>
      </c>
      <c r="Q20" s="119"/>
      <c r="R20" s="119"/>
      <c r="S20" s="17">
        <v>18.600000000000001</v>
      </c>
      <c r="T20" s="18" t="s">
        <v>50</v>
      </c>
      <c r="U20" s="16">
        <v>1200</v>
      </c>
      <c r="V20" s="109">
        <v>600</v>
      </c>
      <c r="W20" s="146">
        <v>7.5</v>
      </c>
      <c r="X20" s="110">
        <v>6.6</v>
      </c>
      <c r="Y20" s="17">
        <v>49.1</v>
      </c>
      <c r="Z20" s="119"/>
      <c r="AA20" s="122"/>
      <c r="AB20" s="17">
        <v>152.19999999999999</v>
      </c>
      <c r="AC20" s="17">
        <v>1289.4000000000001</v>
      </c>
      <c r="AD20" s="119"/>
      <c r="AE20" s="119"/>
      <c r="AF20" s="17">
        <v>1.29175979010786E-2</v>
      </c>
      <c r="AG20" s="147">
        <v>1496</v>
      </c>
      <c r="AH20" s="122"/>
      <c r="AI20" s="119"/>
      <c r="AJ20" s="119"/>
      <c r="AK20" s="119"/>
      <c r="AL20" s="120"/>
      <c r="AM20" s="119"/>
      <c r="AN20" s="119"/>
      <c r="AO20" s="121"/>
      <c r="AP20" s="119"/>
      <c r="AQ20" s="119"/>
      <c r="AR20" s="114"/>
    </row>
    <row r="21" spans="1:44" ht="123">
      <c r="A21" s="23" t="s">
        <v>68</v>
      </c>
      <c r="B21" s="24" t="s">
        <v>69</v>
      </c>
      <c r="C21" s="25" t="s">
        <v>49</v>
      </c>
      <c r="D21" s="25">
        <v>399</v>
      </c>
      <c r="E21" s="119"/>
      <c r="F21" s="119"/>
      <c r="G21" s="119"/>
      <c r="H21" s="119"/>
      <c r="I21" s="119"/>
      <c r="J21" s="119"/>
      <c r="K21" s="119"/>
      <c r="L21" s="25">
        <f>0.699*1000</f>
        <v>699</v>
      </c>
      <c r="M21" s="25">
        <v>0.51</v>
      </c>
      <c r="N21" s="119"/>
      <c r="O21" s="25">
        <v>21.1</v>
      </c>
      <c r="P21" s="119"/>
      <c r="Q21" s="119"/>
      <c r="R21" s="119"/>
      <c r="S21" s="123"/>
      <c r="T21" s="27" t="s">
        <v>70</v>
      </c>
      <c r="U21" s="25">
        <v>1200</v>
      </c>
      <c r="V21" s="108">
        <v>600</v>
      </c>
      <c r="W21" s="148">
        <v>7.5</v>
      </c>
      <c r="X21" s="108">
        <v>4.5081560410483803</v>
      </c>
      <c r="Y21" s="132"/>
      <c r="Z21" s="132"/>
      <c r="AA21" s="133"/>
      <c r="AB21" s="132"/>
      <c r="AC21" s="25">
        <v>839.37666090456401</v>
      </c>
      <c r="AD21" s="134"/>
      <c r="AE21" s="135"/>
      <c r="AF21" s="132"/>
      <c r="AG21" s="149"/>
      <c r="AH21" s="122"/>
      <c r="AI21" s="119"/>
      <c r="AJ21" s="119"/>
      <c r="AK21" s="119"/>
      <c r="AL21" s="120"/>
      <c r="AM21" s="119"/>
      <c r="AN21" s="119"/>
      <c r="AO21" s="121"/>
      <c r="AP21" s="121"/>
      <c r="AQ21" s="121"/>
      <c r="AR21" s="112" t="s">
        <v>71</v>
      </c>
    </row>
    <row r="22" spans="1:44" ht="123">
      <c r="A22" s="23" t="s">
        <v>68</v>
      </c>
      <c r="B22" s="24" t="s">
        <v>52</v>
      </c>
      <c r="C22" s="25" t="s">
        <v>49</v>
      </c>
      <c r="D22" s="25">
        <v>424</v>
      </c>
      <c r="E22" s="119"/>
      <c r="F22" s="119"/>
      <c r="G22" s="119"/>
      <c r="H22" s="119"/>
      <c r="I22" s="119"/>
      <c r="J22" s="119"/>
      <c r="K22" s="119"/>
      <c r="L22" s="25">
        <v>715</v>
      </c>
      <c r="M22" s="25">
        <v>0.67</v>
      </c>
      <c r="N22" s="119"/>
      <c r="O22" s="25">
        <v>22.4</v>
      </c>
      <c r="P22" s="119"/>
      <c r="Q22" s="119"/>
      <c r="R22" s="119"/>
      <c r="S22" s="119"/>
      <c r="T22" s="27" t="s">
        <v>70</v>
      </c>
      <c r="U22" s="25">
        <v>1200</v>
      </c>
      <c r="V22" s="108">
        <v>600</v>
      </c>
      <c r="W22" s="148">
        <v>7.5</v>
      </c>
      <c r="X22" s="108">
        <v>4.25240461973039</v>
      </c>
      <c r="Y22" s="132"/>
      <c r="Z22" s="132"/>
      <c r="AA22" s="133"/>
      <c r="AB22" s="132"/>
      <c r="AC22" s="25">
        <v>786.90239686266398</v>
      </c>
      <c r="AD22" s="134"/>
      <c r="AE22" s="135"/>
      <c r="AF22" s="132"/>
      <c r="AG22" s="149"/>
      <c r="AH22" s="122"/>
      <c r="AI22" s="119"/>
      <c r="AJ22" s="119"/>
      <c r="AK22" s="119"/>
      <c r="AL22" s="120"/>
      <c r="AM22" s="119"/>
      <c r="AN22" s="119"/>
      <c r="AO22" s="121"/>
      <c r="AP22" s="121"/>
      <c r="AQ22" s="121"/>
      <c r="AR22" s="114"/>
    </row>
    <row r="23" spans="1:44" ht="123">
      <c r="A23" s="23" t="s">
        <v>68</v>
      </c>
      <c r="B23" s="24" t="s">
        <v>54</v>
      </c>
      <c r="C23" s="25" t="s">
        <v>49</v>
      </c>
      <c r="D23" s="25">
        <v>447</v>
      </c>
      <c r="E23" s="119"/>
      <c r="F23" s="119"/>
      <c r="G23" s="119"/>
      <c r="H23" s="119"/>
      <c r="I23" s="119"/>
      <c r="J23" s="119"/>
      <c r="K23" s="119"/>
      <c r="L23" s="25">
        <v>728</v>
      </c>
      <c r="M23" s="25">
        <v>0.86</v>
      </c>
      <c r="N23" s="119"/>
      <c r="O23" s="25">
        <v>23.400000000000002</v>
      </c>
      <c r="P23" s="119"/>
      <c r="Q23" s="119"/>
      <c r="R23" s="119"/>
      <c r="S23" s="119"/>
      <c r="T23" s="27" t="s">
        <v>70</v>
      </c>
      <c r="U23" s="25">
        <v>1200</v>
      </c>
      <c r="V23" s="108">
        <v>600</v>
      </c>
      <c r="W23" s="148">
        <v>7.5</v>
      </c>
      <c r="X23" s="108">
        <v>3.8932813673257698</v>
      </c>
      <c r="Y23" s="132"/>
      <c r="Z23" s="132"/>
      <c r="AA23" s="133"/>
      <c r="AB23" s="132"/>
      <c r="AC23" s="25">
        <v>777.68389277329095</v>
      </c>
      <c r="AD23" s="134"/>
      <c r="AE23" s="135"/>
      <c r="AF23" s="132"/>
      <c r="AG23" s="149"/>
      <c r="AH23" s="122"/>
      <c r="AI23" s="119"/>
      <c r="AJ23" s="119"/>
      <c r="AK23" s="119"/>
      <c r="AL23" s="120"/>
      <c r="AM23" s="119"/>
      <c r="AN23" s="119"/>
      <c r="AO23" s="121"/>
      <c r="AP23" s="121"/>
      <c r="AQ23" s="121"/>
      <c r="AR23" s="114"/>
    </row>
    <row r="24" spans="1:44" ht="123">
      <c r="A24" s="23" t="s">
        <v>68</v>
      </c>
      <c r="B24" s="24" t="s">
        <v>72</v>
      </c>
      <c r="C24" s="25" t="s">
        <v>49</v>
      </c>
      <c r="D24" s="25">
        <v>469</v>
      </c>
      <c r="E24" s="119"/>
      <c r="F24" s="119"/>
      <c r="G24" s="119"/>
      <c r="H24" s="119"/>
      <c r="I24" s="119"/>
      <c r="J24" s="119"/>
      <c r="K24" s="119"/>
      <c r="L24" s="25">
        <v>737</v>
      </c>
      <c r="M24" s="25">
        <v>1.1000000000000001</v>
      </c>
      <c r="N24" s="119"/>
      <c r="O24" s="25">
        <v>24.2</v>
      </c>
      <c r="P24" s="119"/>
      <c r="Q24" s="119"/>
      <c r="R24" s="119"/>
      <c r="S24" s="119"/>
      <c r="T24" s="27" t="s">
        <v>70</v>
      </c>
      <c r="U24" s="25">
        <v>1200</v>
      </c>
      <c r="V24" s="108">
        <v>600</v>
      </c>
      <c r="W24" s="148">
        <v>7.5</v>
      </c>
      <c r="X24" s="108">
        <v>3.8443236671791698</v>
      </c>
      <c r="Y24" s="132"/>
      <c r="Z24" s="132"/>
      <c r="AA24" s="133"/>
      <c r="AB24" s="132"/>
      <c r="AC24" s="25">
        <v>764.70368172553401</v>
      </c>
      <c r="AD24" s="134"/>
      <c r="AE24" s="135"/>
      <c r="AF24" s="132"/>
      <c r="AG24" s="149"/>
      <c r="AH24" s="122"/>
      <c r="AI24" s="119"/>
      <c r="AJ24" s="119"/>
      <c r="AK24" s="119"/>
      <c r="AL24" s="120"/>
      <c r="AM24" s="119"/>
      <c r="AN24" s="119"/>
      <c r="AO24" s="121"/>
      <c r="AP24" s="121"/>
      <c r="AQ24" s="121"/>
      <c r="AR24" s="114"/>
    </row>
    <row r="25" spans="1:44" ht="123">
      <c r="A25" s="23" t="s">
        <v>68</v>
      </c>
      <c r="B25" s="24" t="s">
        <v>73</v>
      </c>
      <c r="C25" s="25" t="s">
        <v>49</v>
      </c>
      <c r="D25" s="25">
        <v>489</v>
      </c>
      <c r="E25" s="119"/>
      <c r="F25" s="119"/>
      <c r="G25" s="119"/>
      <c r="H25" s="119"/>
      <c r="I25" s="119"/>
      <c r="J25" s="119"/>
      <c r="K25" s="119"/>
      <c r="L25" s="25">
        <v>745</v>
      </c>
      <c r="M25" s="25">
        <v>1.39</v>
      </c>
      <c r="N25" s="119"/>
      <c r="O25" s="25">
        <v>24.9</v>
      </c>
      <c r="P25" s="119"/>
      <c r="Q25" s="119"/>
      <c r="R25" s="119"/>
      <c r="S25" s="119"/>
      <c r="T25" s="27" t="s">
        <v>70</v>
      </c>
      <c r="U25" s="25">
        <v>1200</v>
      </c>
      <c r="V25" s="108">
        <v>600</v>
      </c>
      <c r="W25" s="148">
        <v>7.5</v>
      </c>
      <c r="X25" s="108">
        <v>3.71767440197375</v>
      </c>
      <c r="Y25" s="132"/>
      <c r="Z25" s="132"/>
      <c r="AA25" s="133"/>
      <c r="AB25" s="132"/>
      <c r="AC25" s="25">
        <v>810.03379860161499</v>
      </c>
      <c r="AD25" s="134"/>
      <c r="AE25" s="135"/>
      <c r="AF25" s="132"/>
      <c r="AG25" s="149"/>
      <c r="AH25" s="122"/>
      <c r="AI25" s="119"/>
      <c r="AJ25" s="119"/>
      <c r="AK25" s="119"/>
      <c r="AL25" s="120"/>
      <c r="AM25" s="119"/>
      <c r="AN25" s="119"/>
      <c r="AO25" s="121"/>
      <c r="AP25" s="121"/>
      <c r="AQ25" s="121"/>
      <c r="AR25" s="114"/>
    </row>
    <row r="26" spans="1:44" ht="123">
      <c r="A26" s="23" t="s">
        <v>68</v>
      </c>
      <c r="B26" s="24" t="s">
        <v>74</v>
      </c>
      <c r="C26" s="25" t="s">
        <v>49</v>
      </c>
      <c r="D26" s="25">
        <v>527</v>
      </c>
      <c r="E26" s="119"/>
      <c r="F26" s="119"/>
      <c r="G26" s="119"/>
      <c r="H26" s="119"/>
      <c r="I26" s="119"/>
      <c r="J26" s="119"/>
      <c r="K26" s="119"/>
      <c r="L26" s="25">
        <v>758</v>
      </c>
      <c r="M26" s="25">
        <v>2.11</v>
      </c>
      <c r="N26" s="119"/>
      <c r="O26" s="25">
        <v>26.200000000000003</v>
      </c>
      <c r="P26" s="119"/>
      <c r="Q26" s="119"/>
      <c r="R26" s="119"/>
      <c r="S26" s="119"/>
      <c r="T26" s="27" t="s">
        <v>70</v>
      </c>
      <c r="U26" s="25">
        <v>1200</v>
      </c>
      <c r="V26" s="108">
        <v>600</v>
      </c>
      <c r="W26" s="148">
        <v>7.5</v>
      </c>
      <c r="X26" s="108">
        <v>3.49045660957557</v>
      </c>
      <c r="Y26" s="132"/>
      <c r="Z26" s="132"/>
      <c r="AA26" s="133"/>
      <c r="AB26" s="132"/>
      <c r="AC26" s="25">
        <v>814.17090224205901</v>
      </c>
      <c r="AD26" s="134"/>
      <c r="AE26" s="135"/>
      <c r="AF26" s="132"/>
      <c r="AG26" s="149"/>
      <c r="AH26" s="122"/>
      <c r="AI26" s="119"/>
      <c r="AJ26" s="119"/>
      <c r="AK26" s="119"/>
      <c r="AL26" s="120"/>
      <c r="AM26" s="119"/>
      <c r="AN26" s="119"/>
      <c r="AO26" s="121"/>
      <c r="AP26" s="121"/>
      <c r="AQ26" s="121"/>
      <c r="AR26" s="114"/>
    </row>
    <row r="27" spans="1:44" ht="123">
      <c r="A27" s="23" t="s">
        <v>68</v>
      </c>
      <c r="B27" s="24" t="s">
        <v>75</v>
      </c>
      <c r="C27" s="25" t="s">
        <v>49</v>
      </c>
      <c r="D27" s="25">
        <v>560</v>
      </c>
      <c r="E27" s="119"/>
      <c r="F27" s="119"/>
      <c r="G27" s="119"/>
      <c r="H27" s="119"/>
      <c r="I27" s="119"/>
      <c r="J27" s="119"/>
      <c r="K27" s="119"/>
      <c r="L27" s="25">
        <v>770</v>
      </c>
      <c r="M27" s="25">
        <v>3.0599999999999996</v>
      </c>
      <c r="N27" s="119"/>
      <c r="O27" s="25">
        <v>27.099999999999998</v>
      </c>
      <c r="P27" s="119"/>
      <c r="Q27" s="119"/>
      <c r="R27" s="119"/>
      <c r="S27" s="119"/>
      <c r="T27" s="27" t="s">
        <v>70</v>
      </c>
      <c r="U27" s="25">
        <v>1200</v>
      </c>
      <c r="V27" s="108">
        <v>600</v>
      </c>
      <c r="W27" s="148">
        <v>7.5</v>
      </c>
      <c r="X27" s="108">
        <v>3.5213930704043999</v>
      </c>
      <c r="Y27" s="132"/>
      <c r="Z27" s="132"/>
      <c r="AA27" s="133"/>
      <c r="AB27" s="132"/>
      <c r="AC27" s="25">
        <v>829.59699682654298</v>
      </c>
      <c r="AD27" s="134"/>
      <c r="AE27" s="135"/>
      <c r="AF27" s="132"/>
      <c r="AG27" s="149"/>
      <c r="AH27" s="122"/>
      <c r="AI27" s="119"/>
      <c r="AJ27" s="119"/>
      <c r="AK27" s="119"/>
      <c r="AL27" s="120"/>
      <c r="AM27" s="119"/>
      <c r="AN27" s="119"/>
      <c r="AO27" s="121"/>
      <c r="AP27" s="121"/>
      <c r="AQ27" s="121"/>
      <c r="AR27" s="114"/>
    </row>
    <row r="28" spans="1:44" ht="123">
      <c r="A28" s="23" t="s">
        <v>68</v>
      </c>
      <c r="B28" s="24" t="s">
        <v>76</v>
      </c>
      <c r="C28" s="25" t="s">
        <v>77</v>
      </c>
      <c r="D28" s="25">
        <v>394</v>
      </c>
      <c r="E28" s="119"/>
      <c r="F28" s="119"/>
      <c r="G28" s="119"/>
      <c r="H28" s="119"/>
      <c r="I28" s="119"/>
      <c r="J28" s="119"/>
      <c r="K28" s="119"/>
      <c r="L28" s="25">
        <v>711</v>
      </c>
      <c r="M28" s="25">
        <v>0.45</v>
      </c>
      <c r="N28" s="119"/>
      <c r="O28" s="25">
        <v>21.3</v>
      </c>
      <c r="P28" s="119"/>
      <c r="Q28" s="119"/>
      <c r="R28" s="119"/>
      <c r="S28" s="119"/>
      <c r="T28" s="27" t="s">
        <v>70</v>
      </c>
      <c r="U28" s="25">
        <v>1200</v>
      </c>
      <c r="V28" s="108">
        <v>600</v>
      </c>
      <c r="W28" s="148">
        <v>7.5</v>
      </c>
      <c r="X28" s="108">
        <v>6.0650000000000004</v>
      </c>
      <c r="Y28" s="132"/>
      <c r="Z28" s="132"/>
      <c r="AA28" s="133"/>
      <c r="AB28" s="132"/>
      <c r="AC28" s="25">
        <v>1208.0200727572901</v>
      </c>
      <c r="AD28" s="134"/>
      <c r="AE28" s="135"/>
      <c r="AF28" s="132"/>
      <c r="AG28" s="149"/>
      <c r="AH28" s="122"/>
      <c r="AI28" s="119"/>
      <c r="AJ28" s="119"/>
      <c r="AK28" s="119"/>
      <c r="AL28" s="120"/>
      <c r="AM28" s="119"/>
      <c r="AN28" s="119"/>
      <c r="AO28" s="121"/>
      <c r="AP28" s="121"/>
      <c r="AQ28" s="121"/>
      <c r="AR28" s="114"/>
    </row>
    <row r="29" spans="1:44" ht="123">
      <c r="A29" s="23" t="s">
        <v>68</v>
      </c>
      <c r="B29" s="24" t="s">
        <v>78</v>
      </c>
      <c r="C29" s="25" t="s">
        <v>77</v>
      </c>
      <c r="D29" s="25">
        <v>444</v>
      </c>
      <c r="E29" s="119"/>
      <c r="F29" s="119"/>
      <c r="G29" s="119"/>
      <c r="H29" s="119"/>
      <c r="I29" s="119"/>
      <c r="J29" s="119"/>
      <c r="K29" s="119"/>
      <c r="L29" s="25">
        <v>737</v>
      </c>
      <c r="M29" s="25">
        <v>0.76</v>
      </c>
      <c r="N29" s="119"/>
      <c r="O29" s="25">
        <v>23.599999999999998</v>
      </c>
      <c r="P29" s="119"/>
      <c r="Q29" s="119"/>
      <c r="R29" s="119"/>
      <c r="S29" s="119"/>
      <c r="T29" s="27" t="s">
        <v>70</v>
      </c>
      <c r="U29" s="25">
        <v>1200</v>
      </c>
      <c r="V29" s="108">
        <v>600</v>
      </c>
      <c r="W29" s="148">
        <v>7.5</v>
      </c>
      <c r="X29" s="108">
        <v>4.9145000000000003</v>
      </c>
      <c r="Y29" s="132"/>
      <c r="Z29" s="132"/>
      <c r="AA29" s="133"/>
      <c r="AB29" s="132"/>
      <c r="AC29" s="25">
        <v>1009.02887071389</v>
      </c>
      <c r="AD29" s="134"/>
      <c r="AE29" s="135"/>
      <c r="AF29" s="132"/>
      <c r="AG29" s="149"/>
      <c r="AH29" s="122"/>
      <c r="AI29" s="119"/>
      <c r="AJ29" s="119"/>
      <c r="AK29" s="119"/>
      <c r="AL29" s="120"/>
      <c r="AM29" s="119"/>
      <c r="AN29" s="119"/>
      <c r="AO29" s="121"/>
      <c r="AP29" s="121"/>
      <c r="AQ29" s="121"/>
      <c r="AR29" s="114"/>
    </row>
    <row r="30" spans="1:44" ht="123">
      <c r="A30" s="23" t="s">
        <v>68</v>
      </c>
      <c r="B30" s="24" t="s">
        <v>79</v>
      </c>
      <c r="C30" s="25" t="s">
        <v>80</v>
      </c>
      <c r="D30" s="25">
        <v>468</v>
      </c>
      <c r="E30" s="119"/>
      <c r="F30" s="119"/>
      <c r="G30" s="119"/>
      <c r="H30" s="119"/>
      <c r="I30" s="119"/>
      <c r="J30" s="119"/>
      <c r="K30" s="119"/>
      <c r="L30" s="25">
        <v>823</v>
      </c>
      <c r="M30" s="25">
        <v>7.49</v>
      </c>
      <c r="N30" s="119"/>
      <c r="O30" s="25">
        <v>27.099999999999998</v>
      </c>
      <c r="P30" s="119"/>
      <c r="Q30" s="119"/>
      <c r="R30" s="119"/>
      <c r="S30" s="119"/>
      <c r="T30" s="27" t="s">
        <v>70</v>
      </c>
      <c r="U30" s="25">
        <v>1200</v>
      </c>
      <c r="V30" s="108">
        <v>600</v>
      </c>
      <c r="W30" s="148">
        <v>7.5</v>
      </c>
      <c r="X30" s="108">
        <v>7.0670000000000002</v>
      </c>
      <c r="Y30" s="132"/>
      <c r="Z30" s="132"/>
      <c r="AA30" s="133"/>
      <c r="AB30" s="132"/>
      <c r="AC30" s="25">
        <v>1016.18075801749</v>
      </c>
      <c r="AD30" s="134"/>
      <c r="AE30" s="135"/>
      <c r="AF30" s="132"/>
      <c r="AG30" s="149"/>
      <c r="AH30" s="122"/>
      <c r="AI30" s="119"/>
      <c r="AJ30" s="119"/>
      <c r="AK30" s="119"/>
      <c r="AL30" s="120"/>
      <c r="AM30" s="119"/>
      <c r="AN30" s="119"/>
      <c r="AO30" s="121"/>
      <c r="AP30" s="121"/>
      <c r="AQ30" s="121"/>
      <c r="AR30" s="114"/>
    </row>
    <row r="31" spans="1:44" ht="123">
      <c r="A31" s="23" t="s">
        <v>68</v>
      </c>
      <c r="B31" s="24" t="s">
        <v>81</v>
      </c>
      <c r="C31" s="25" t="s">
        <v>80</v>
      </c>
      <c r="D31" s="25">
        <v>453</v>
      </c>
      <c r="E31" s="119"/>
      <c r="F31" s="119"/>
      <c r="G31" s="119"/>
      <c r="H31" s="119"/>
      <c r="I31" s="119"/>
      <c r="J31" s="119"/>
      <c r="K31" s="119"/>
      <c r="L31" s="25">
        <v>817</v>
      </c>
      <c r="M31" s="25">
        <v>7.41</v>
      </c>
      <c r="N31" s="119"/>
      <c r="O31" s="25">
        <v>25.9</v>
      </c>
      <c r="P31" s="119"/>
      <c r="Q31" s="119"/>
      <c r="R31" s="119"/>
      <c r="S31" s="119"/>
      <c r="T31" s="27" t="s">
        <v>70</v>
      </c>
      <c r="U31" s="25">
        <v>1200</v>
      </c>
      <c r="V31" s="108">
        <v>600</v>
      </c>
      <c r="W31" s="148">
        <v>7.5</v>
      </c>
      <c r="X31" s="108">
        <v>7.88427046057111</v>
      </c>
      <c r="Y31" s="132"/>
      <c r="Z31" s="132"/>
      <c r="AA31" s="133"/>
      <c r="AB31" s="132"/>
      <c r="AC31" s="25">
        <v>954.10485306638395</v>
      </c>
      <c r="AD31" s="134"/>
      <c r="AE31" s="135"/>
      <c r="AF31" s="132"/>
      <c r="AG31" s="149"/>
      <c r="AH31" s="122"/>
      <c r="AI31" s="119"/>
      <c r="AJ31" s="119"/>
      <c r="AK31" s="119"/>
      <c r="AL31" s="120"/>
      <c r="AM31" s="119"/>
      <c r="AN31" s="119"/>
      <c r="AO31" s="121"/>
      <c r="AP31" s="121"/>
      <c r="AQ31" s="121"/>
      <c r="AR31" s="114"/>
    </row>
    <row r="32" spans="1:44" ht="123">
      <c r="A32" s="23" t="s">
        <v>68</v>
      </c>
      <c r="B32" s="24" t="s">
        <v>82</v>
      </c>
      <c r="C32" s="25" t="s">
        <v>80</v>
      </c>
      <c r="D32" s="25">
        <v>448</v>
      </c>
      <c r="E32" s="119"/>
      <c r="F32" s="119"/>
      <c r="G32" s="119"/>
      <c r="H32" s="119"/>
      <c r="I32" s="119"/>
      <c r="J32" s="119"/>
      <c r="K32" s="119"/>
      <c r="L32" s="25">
        <v>818</v>
      </c>
      <c r="M32" s="25">
        <v>6.8999999999999995</v>
      </c>
      <c r="N32" s="119"/>
      <c r="O32" s="25">
        <v>26.3</v>
      </c>
      <c r="P32" s="119"/>
      <c r="Q32" s="119"/>
      <c r="R32" s="119"/>
      <c r="S32" s="119"/>
      <c r="T32" s="27" t="s">
        <v>70</v>
      </c>
      <c r="U32" s="25">
        <v>1200</v>
      </c>
      <c r="V32" s="108">
        <v>600</v>
      </c>
      <c r="W32" s="148">
        <v>7.5</v>
      </c>
      <c r="X32" s="108">
        <v>7.9470000000000001</v>
      </c>
      <c r="Y32" s="132"/>
      <c r="Z32" s="132"/>
      <c r="AA32" s="133"/>
      <c r="AB32" s="132"/>
      <c r="AC32" s="25">
        <v>870.64227708965598</v>
      </c>
      <c r="AD32" s="134"/>
      <c r="AE32" s="135"/>
      <c r="AF32" s="132"/>
      <c r="AG32" s="149"/>
      <c r="AH32" s="122"/>
      <c r="AI32" s="119"/>
      <c r="AJ32" s="119"/>
      <c r="AK32" s="119"/>
      <c r="AL32" s="120"/>
      <c r="AM32" s="119"/>
      <c r="AN32" s="119"/>
      <c r="AO32" s="121"/>
      <c r="AP32" s="121"/>
      <c r="AQ32" s="121"/>
      <c r="AR32" s="114"/>
    </row>
    <row r="33" spans="1:44" ht="123">
      <c r="A33" s="23" t="s">
        <v>68</v>
      </c>
      <c r="B33" s="24" t="s">
        <v>83</v>
      </c>
      <c r="C33" s="25" t="s">
        <v>80</v>
      </c>
      <c r="D33" s="25">
        <v>448</v>
      </c>
      <c r="E33" s="119"/>
      <c r="F33" s="119"/>
      <c r="G33" s="119"/>
      <c r="H33" s="119"/>
      <c r="I33" s="119"/>
      <c r="J33" s="119"/>
      <c r="K33" s="119"/>
      <c r="L33" s="25">
        <v>830</v>
      </c>
      <c r="M33" s="25"/>
      <c r="N33" s="119"/>
      <c r="O33" s="25">
        <v>28.1</v>
      </c>
      <c r="P33" s="119"/>
      <c r="Q33" s="119"/>
      <c r="R33" s="119"/>
      <c r="S33" s="119"/>
      <c r="T33" s="27" t="s">
        <v>70</v>
      </c>
      <c r="U33" s="25">
        <v>1200</v>
      </c>
      <c r="V33" s="108">
        <v>600</v>
      </c>
      <c r="W33" s="148">
        <v>7.5</v>
      </c>
      <c r="X33" s="108">
        <v>10.378</v>
      </c>
      <c r="Y33" s="132"/>
      <c r="Z33" s="132"/>
      <c r="AA33" s="133"/>
      <c r="AB33" s="132"/>
      <c r="AC33" s="25">
        <v>56.672955458945097</v>
      </c>
      <c r="AD33" s="134"/>
      <c r="AE33" s="135"/>
      <c r="AF33" s="132"/>
      <c r="AG33" s="149"/>
      <c r="AH33" s="122"/>
      <c r="AI33" s="119"/>
      <c r="AJ33" s="119"/>
      <c r="AK33" s="119"/>
      <c r="AL33" s="120"/>
      <c r="AM33" s="119"/>
      <c r="AN33" s="119"/>
      <c r="AO33" s="121"/>
      <c r="AP33" s="121"/>
      <c r="AQ33" s="121"/>
      <c r="AR33" s="114"/>
    </row>
    <row r="34" spans="1:44" ht="123">
      <c r="A34" s="23" t="s">
        <v>68</v>
      </c>
      <c r="B34" s="24" t="s">
        <v>84</v>
      </c>
      <c r="C34" s="25" t="s">
        <v>80</v>
      </c>
      <c r="D34" s="25">
        <v>486</v>
      </c>
      <c r="E34" s="119"/>
      <c r="F34" s="119"/>
      <c r="G34" s="119"/>
      <c r="H34" s="119"/>
      <c r="I34" s="119"/>
      <c r="J34" s="119"/>
      <c r="K34" s="119"/>
      <c r="L34" s="25">
        <v>824</v>
      </c>
      <c r="M34" s="25">
        <v>9.85</v>
      </c>
      <c r="N34" s="119"/>
      <c r="O34" s="25">
        <v>27.799999999999997</v>
      </c>
      <c r="P34" s="119"/>
      <c r="Q34" s="119"/>
      <c r="R34" s="119"/>
      <c r="S34" s="119"/>
      <c r="T34" s="27" t="s">
        <v>70</v>
      </c>
      <c r="U34" s="25">
        <v>1200</v>
      </c>
      <c r="V34" s="108">
        <v>600</v>
      </c>
      <c r="W34" s="148">
        <v>7.5</v>
      </c>
      <c r="X34" s="108">
        <v>6.1356504353621197</v>
      </c>
      <c r="Y34" s="132"/>
      <c r="Z34" s="132"/>
      <c r="AA34" s="133"/>
      <c r="AB34" s="132"/>
      <c r="AC34" s="25">
        <v>843.32413116953398</v>
      </c>
      <c r="AD34" s="134"/>
      <c r="AE34" s="135"/>
      <c r="AF34" s="132"/>
      <c r="AG34" s="149"/>
      <c r="AH34" s="122"/>
      <c r="AI34" s="119"/>
      <c r="AJ34" s="119"/>
      <c r="AK34" s="119"/>
      <c r="AL34" s="120"/>
      <c r="AM34" s="119"/>
      <c r="AN34" s="119"/>
      <c r="AO34" s="121"/>
      <c r="AP34" s="121"/>
      <c r="AQ34" s="121"/>
      <c r="AR34" s="114"/>
    </row>
    <row r="35" spans="1:44" ht="123">
      <c r="A35" s="23" t="s">
        <v>68</v>
      </c>
      <c r="B35" s="24" t="s">
        <v>85</v>
      </c>
      <c r="C35" s="25" t="s">
        <v>80</v>
      </c>
      <c r="D35" s="25">
        <v>472</v>
      </c>
      <c r="E35" s="119"/>
      <c r="F35" s="119"/>
      <c r="G35" s="119"/>
      <c r="H35" s="119"/>
      <c r="I35" s="119"/>
      <c r="J35" s="119"/>
      <c r="K35" s="119"/>
      <c r="L35" s="25">
        <v>820</v>
      </c>
      <c r="M35" s="25">
        <v>9.4400000000000013</v>
      </c>
      <c r="N35" s="119"/>
      <c r="O35" s="25">
        <v>27.099999999999998</v>
      </c>
      <c r="P35" s="119"/>
      <c r="Q35" s="119"/>
      <c r="R35" s="119"/>
      <c r="S35" s="119"/>
      <c r="T35" s="27" t="s">
        <v>70</v>
      </c>
      <c r="U35" s="25">
        <v>1200</v>
      </c>
      <c r="V35" s="108">
        <v>600</v>
      </c>
      <c r="W35" s="148">
        <v>7.5</v>
      </c>
      <c r="X35" s="108">
        <v>6.3989249960158201</v>
      </c>
      <c r="Y35" s="132"/>
      <c r="Z35" s="132"/>
      <c r="AA35" s="133"/>
      <c r="AB35" s="132"/>
      <c r="AC35" s="25">
        <v>845.20885471761301</v>
      </c>
      <c r="AD35" s="134"/>
      <c r="AE35" s="135"/>
      <c r="AF35" s="132"/>
      <c r="AG35" s="149"/>
      <c r="AH35" s="122"/>
      <c r="AI35" s="119"/>
      <c r="AJ35" s="119"/>
      <c r="AK35" s="119"/>
      <c r="AL35" s="120"/>
      <c r="AM35" s="119"/>
      <c r="AN35" s="119"/>
      <c r="AO35" s="121"/>
      <c r="AP35" s="121"/>
      <c r="AQ35" s="121"/>
      <c r="AR35" s="114"/>
    </row>
    <row r="36" spans="1:44" ht="123">
      <c r="A36" s="23" t="s">
        <v>68</v>
      </c>
      <c r="B36" s="24" t="s">
        <v>86</v>
      </c>
      <c r="C36" s="25" t="s">
        <v>80</v>
      </c>
      <c r="D36" s="25">
        <v>468</v>
      </c>
      <c r="E36" s="119"/>
      <c r="F36" s="119"/>
      <c r="G36" s="119"/>
      <c r="H36" s="119"/>
      <c r="I36" s="119"/>
      <c r="J36" s="119"/>
      <c r="K36" s="119"/>
      <c r="L36" s="25">
        <v>818</v>
      </c>
      <c r="M36" s="25">
        <v>9.0299999999999994</v>
      </c>
      <c r="N36" s="119"/>
      <c r="O36" s="25">
        <v>27.3</v>
      </c>
      <c r="P36" s="119"/>
      <c r="Q36" s="119"/>
      <c r="R36" s="119"/>
      <c r="S36" s="119"/>
      <c r="T36" s="27" t="s">
        <v>70</v>
      </c>
      <c r="U36" s="25">
        <v>1200</v>
      </c>
      <c r="V36" s="108">
        <v>600</v>
      </c>
      <c r="W36" s="148">
        <v>7.5</v>
      </c>
      <c r="X36" s="108">
        <v>8.3811628008055301</v>
      </c>
      <c r="Y36" s="132"/>
      <c r="Z36" s="132"/>
      <c r="AA36" s="133"/>
      <c r="AB36" s="132"/>
      <c r="AC36" s="25">
        <v>810.23124384911398</v>
      </c>
      <c r="AD36" s="134"/>
      <c r="AE36" s="135"/>
      <c r="AF36" s="132"/>
      <c r="AG36" s="149"/>
      <c r="AH36" s="122"/>
      <c r="AI36" s="119"/>
      <c r="AJ36" s="119"/>
      <c r="AK36" s="119"/>
      <c r="AL36" s="120"/>
      <c r="AM36" s="119"/>
      <c r="AN36" s="119"/>
      <c r="AO36" s="121"/>
      <c r="AP36" s="121"/>
      <c r="AQ36" s="121"/>
      <c r="AR36" s="114"/>
    </row>
    <row r="37" spans="1:44" ht="123">
      <c r="A37" s="23" t="s">
        <v>68</v>
      </c>
      <c r="B37" s="24" t="s">
        <v>87</v>
      </c>
      <c r="C37" s="25" t="s">
        <v>80</v>
      </c>
      <c r="D37" s="25">
        <v>503</v>
      </c>
      <c r="E37" s="119"/>
      <c r="F37" s="119"/>
      <c r="G37" s="119"/>
      <c r="H37" s="119"/>
      <c r="I37" s="119"/>
      <c r="J37" s="119"/>
      <c r="K37" s="119"/>
      <c r="L37" s="25">
        <v>825</v>
      </c>
      <c r="M37" s="25">
        <v>11.17</v>
      </c>
      <c r="N37" s="119"/>
      <c r="O37" s="25">
        <v>28.400000000000002</v>
      </c>
      <c r="P37" s="119"/>
      <c r="Q37" s="119"/>
      <c r="R37" s="119"/>
      <c r="S37" s="119"/>
      <c r="T37" s="27" t="s">
        <v>70</v>
      </c>
      <c r="U37" s="25">
        <v>1200</v>
      </c>
      <c r="V37" s="108">
        <v>600</v>
      </c>
      <c r="W37" s="148">
        <v>7.5</v>
      </c>
      <c r="X37" s="108">
        <v>5.6509999999999998</v>
      </c>
      <c r="Y37" s="132"/>
      <c r="Z37" s="132"/>
      <c r="AA37" s="133"/>
      <c r="AB37" s="132"/>
      <c r="AC37" s="25">
        <v>807.77754844036201</v>
      </c>
      <c r="AD37" s="134"/>
      <c r="AE37" s="135"/>
      <c r="AF37" s="132"/>
      <c r="AG37" s="149"/>
      <c r="AH37" s="122"/>
      <c r="AI37" s="119"/>
      <c r="AJ37" s="119"/>
      <c r="AK37" s="119"/>
      <c r="AL37" s="120"/>
      <c r="AM37" s="119"/>
      <c r="AN37" s="119"/>
      <c r="AO37" s="121"/>
      <c r="AP37" s="121"/>
      <c r="AQ37" s="121"/>
      <c r="AR37" s="114"/>
    </row>
    <row r="38" spans="1:44" ht="123">
      <c r="A38" s="23" t="s">
        <v>68</v>
      </c>
      <c r="B38" s="24" t="s">
        <v>88</v>
      </c>
      <c r="C38" s="25" t="s">
        <v>80</v>
      </c>
      <c r="D38" s="25">
        <v>489</v>
      </c>
      <c r="E38" s="119"/>
      <c r="F38" s="119"/>
      <c r="G38" s="119"/>
      <c r="H38" s="119"/>
      <c r="I38" s="119"/>
      <c r="J38" s="119"/>
      <c r="K38" s="119"/>
      <c r="L38" s="25">
        <v>837</v>
      </c>
      <c r="M38" s="25"/>
      <c r="N38" s="119"/>
      <c r="O38" s="25">
        <v>29</v>
      </c>
      <c r="P38" s="119"/>
      <c r="Q38" s="119"/>
      <c r="R38" s="119"/>
      <c r="S38" s="119"/>
      <c r="T38" s="27" t="s">
        <v>70</v>
      </c>
      <c r="U38" s="25">
        <v>1200</v>
      </c>
      <c r="V38" s="108">
        <v>600</v>
      </c>
      <c r="W38" s="148">
        <v>7.5</v>
      </c>
      <c r="X38" s="108">
        <v>7.2462</v>
      </c>
      <c r="Y38" s="132"/>
      <c r="Z38" s="132"/>
      <c r="AA38" s="133"/>
      <c r="AB38" s="132"/>
      <c r="AC38" s="25">
        <v>1118.99816351086</v>
      </c>
      <c r="AD38" s="134"/>
      <c r="AE38" s="135"/>
      <c r="AF38" s="132"/>
      <c r="AG38" s="149"/>
      <c r="AH38" s="122"/>
      <c r="AI38" s="119"/>
      <c r="AJ38" s="119"/>
      <c r="AK38" s="119"/>
      <c r="AL38" s="120"/>
      <c r="AM38" s="119"/>
      <c r="AN38" s="119"/>
      <c r="AO38" s="121"/>
      <c r="AP38" s="121"/>
      <c r="AQ38" s="121"/>
      <c r="AR38" s="114"/>
    </row>
    <row r="39" spans="1:44" ht="123">
      <c r="A39" s="23" t="s">
        <v>68</v>
      </c>
      <c r="B39" s="24" t="s">
        <v>89</v>
      </c>
      <c r="C39" s="25" t="s">
        <v>80</v>
      </c>
      <c r="D39" s="25">
        <v>518</v>
      </c>
      <c r="E39" s="119"/>
      <c r="F39" s="119"/>
      <c r="G39" s="119"/>
      <c r="H39" s="119"/>
      <c r="I39" s="119"/>
      <c r="J39" s="119"/>
      <c r="K39" s="119"/>
      <c r="L39" s="25">
        <v>831</v>
      </c>
      <c r="M39" s="25">
        <v>14.73</v>
      </c>
      <c r="N39" s="119"/>
      <c r="O39" s="25">
        <v>28.8</v>
      </c>
      <c r="P39" s="119"/>
      <c r="Q39" s="119"/>
      <c r="R39" s="119"/>
      <c r="S39" s="119"/>
      <c r="T39" s="27" t="s">
        <v>70</v>
      </c>
      <c r="U39" s="25">
        <v>1200</v>
      </c>
      <c r="V39" s="108">
        <v>600</v>
      </c>
      <c r="W39" s="148">
        <v>7.5</v>
      </c>
      <c r="X39" s="108">
        <v>5.1100153752636999</v>
      </c>
      <c r="Y39" s="132"/>
      <c r="Z39" s="132"/>
      <c r="AA39" s="133"/>
      <c r="AB39" s="132"/>
      <c r="AC39" s="25">
        <v>819.24843262210004</v>
      </c>
      <c r="AD39" s="134"/>
      <c r="AE39" s="135"/>
      <c r="AF39" s="132"/>
      <c r="AG39" s="149"/>
      <c r="AH39" s="122"/>
      <c r="AI39" s="119"/>
      <c r="AJ39" s="119"/>
      <c r="AK39" s="119"/>
      <c r="AL39" s="120"/>
      <c r="AM39" s="119"/>
      <c r="AN39" s="119"/>
      <c r="AO39" s="121"/>
      <c r="AP39" s="121"/>
      <c r="AQ39" s="121"/>
      <c r="AR39" s="114"/>
    </row>
    <row r="40" spans="1:44" ht="123">
      <c r="A40" s="23" t="s">
        <v>68</v>
      </c>
      <c r="B40" s="24" t="s">
        <v>90</v>
      </c>
      <c r="C40" s="25" t="s">
        <v>80</v>
      </c>
      <c r="D40" s="25">
        <v>508</v>
      </c>
      <c r="E40" s="119"/>
      <c r="F40" s="119"/>
      <c r="G40" s="119"/>
      <c r="H40" s="119"/>
      <c r="I40" s="119"/>
      <c r="J40" s="119"/>
      <c r="K40" s="119"/>
      <c r="L40" s="25">
        <v>823</v>
      </c>
      <c r="M40" s="25">
        <v>15.360000000000001</v>
      </c>
      <c r="N40" s="119"/>
      <c r="O40" s="25">
        <v>27.099999999999998</v>
      </c>
      <c r="P40" s="119"/>
      <c r="Q40" s="119"/>
      <c r="R40" s="119"/>
      <c r="S40" s="119"/>
      <c r="T40" s="27" t="s">
        <v>70</v>
      </c>
      <c r="U40" s="25">
        <v>1200</v>
      </c>
      <c r="V40" s="108">
        <v>600</v>
      </c>
      <c r="W40" s="148">
        <v>7.5</v>
      </c>
      <c r="X40" s="108">
        <v>5.61</v>
      </c>
      <c r="Y40" s="132"/>
      <c r="Z40" s="132"/>
      <c r="AA40" s="133"/>
      <c r="AB40" s="132"/>
      <c r="AC40" s="25">
        <v>802.32462137825996</v>
      </c>
      <c r="AD40" s="134"/>
      <c r="AE40" s="135"/>
      <c r="AF40" s="132"/>
      <c r="AG40" s="149"/>
      <c r="AH40" s="122"/>
      <c r="AI40" s="119"/>
      <c r="AJ40" s="119"/>
      <c r="AK40" s="119"/>
      <c r="AL40" s="120"/>
      <c r="AM40" s="119"/>
      <c r="AN40" s="119"/>
      <c r="AO40" s="121"/>
      <c r="AP40" s="121"/>
      <c r="AQ40" s="121"/>
      <c r="AR40" s="114"/>
    </row>
    <row r="41" spans="1:44" ht="123">
      <c r="A41" s="23" t="s">
        <v>68</v>
      </c>
      <c r="B41" s="24" t="s">
        <v>91</v>
      </c>
      <c r="C41" s="25" t="s">
        <v>80</v>
      </c>
      <c r="D41" s="25">
        <v>523</v>
      </c>
      <c r="E41" s="119"/>
      <c r="F41" s="119"/>
      <c r="G41" s="119"/>
      <c r="H41" s="119"/>
      <c r="I41" s="119"/>
      <c r="J41" s="119"/>
      <c r="K41" s="119"/>
      <c r="L41" s="25">
        <v>850</v>
      </c>
      <c r="M41" s="25"/>
      <c r="N41" s="119"/>
      <c r="O41" s="25">
        <v>30.3</v>
      </c>
      <c r="P41" s="119"/>
      <c r="Q41" s="119"/>
      <c r="R41" s="119"/>
      <c r="S41" s="119"/>
      <c r="T41" s="27" t="s">
        <v>70</v>
      </c>
      <c r="U41" s="25">
        <v>1200</v>
      </c>
      <c r="V41" s="108">
        <v>600</v>
      </c>
      <c r="W41" s="148">
        <v>7.5</v>
      </c>
      <c r="X41" s="108">
        <v>5.1100153752636999</v>
      </c>
      <c r="Y41" s="132"/>
      <c r="Z41" s="132"/>
      <c r="AA41" s="133"/>
      <c r="AB41" s="132"/>
      <c r="AC41" s="25">
        <v>923.77163481256605</v>
      </c>
      <c r="AD41" s="134"/>
      <c r="AE41" s="135"/>
      <c r="AF41" s="132"/>
      <c r="AG41" s="149"/>
      <c r="AH41" s="122"/>
      <c r="AI41" s="119"/>
      <c r="AJ41" s="119"/>
      <c r="AK41" s="119"/>
      <c r="AL41" s="120"/>
      <c r="AM41" s="119"/>
      <c r="AN41" s="119"/>
      <c r="AO41" s="121"/>
      <c r="AP41" s="121"/>
      <c r="AQ41" s="121"/>
      <c r="AR41" s="114"/>
    </row>
    <row r="42" spans="1:44" ht="123">
      <c r="A42" s="23" t="s">
        <v>68</v>
      </c>
      <c r="B42" s="24" t="s">
        <v>92</v>
      </c>
      <c r="C42" s="25" t="s">
        <v>80</v>
      </c>
      <c r="D42" s="25">
        <v>485</v>
      </c>
      <c r="E42" s="119"/>
      <c r="F42" s="119"/>
      <c r="G42" s="119"/>
      <c r="H42" s="119"/>
      <c r="I42" s="119"/>
      <c r="J42" s="119"/>
      <c r="K42" s="119"/>
      <c r="L42" s="25">
        <v>832</v>
      </c>
      <c r="M42" s="25">
        <v>13.66</v>
      </c>
      <c r="N42" s="119"/>
      <c r="O42" s="25">
        <v>28</v>
      </c>
      <c r="P42" s="119"/>
      <c r="Q42" s="119"/>
      <c r="R42" s="119"/>
      <c r="S42" s="119"/>
      <c r="T42" s="27" t="s">
        <v>70</v>
      </c>
      <c r="U42" s="25">
        <v>1200</v>
      </c>
      <c r="V42" s="108">
        <v>600</v>
      </c>
      <c r="W42" s="148">
        <v>7.5</v>
      </c>
      <c r="X42" s="108">
        <v>7.91</v>
      </c>
      <c r="Y42" s="132"/>
      <c r="Z42" s="132"/>
      <c r="AA42" s="133"/>
      <c r="AB42" s="132"/>
      <c r="AC42" s="25">
        <v>985.93364284905397</v>
      </c>
      <c r="AD42" s="134"/>
      <c r="AE42" s="135"/>
      <c r="AF42" s="132"/>
      <c r="AG42" s="149"/>
      <c r="AH42" s="122"/>
      <c r="AI42" s="119"/>
      <c r="AJ42" s="119"/>
      <c r="AK42" s="119"/>
      <c r="AL42" s="120"/>
      <c r="AM42" s="119"/>
      <c r="AN42" s="119"/>
      <c r="AO42" s="121"/>
      <c r="AP42" s="121"/>
      <c r="AQ42" s="121"/>
      <c r="AR42" s="114"/>
    </row>
    <row r="43" spans="1:44" ht="123">
      <c r="A43" s="23" t="s">
        <v>68</v>
      </c>
      <c r="B43" s="24" t="s">
        <v>93</v>
      </c>
      <c r="C43" s="25" t="s">
        <v>80</v>
      </c>
      <c r="D43" s="25">
        <v>469</v>
      </c>
      <c r="E43" s="119"/>
      <c r="F43" s="119"/>
      <c r="G43" s="119"/>
      <c r="H43" s="119"/>
      <c r="I43" s="119"/>
      <c r="J43" s="119"/>
      <c r="K43" s="119"/>
      <c r="L43" s="25">
        <v>826</v>
      </c>
      <c r="M43" s="25">
        <v>11.06</v>
      </c>
      <c r="N43" s="119"/>
      <c r="O43" s="25">
        <v>26.8</v>
      </c>
      <c r="P43" s="119"/>
      <c r="Q43" s="119"/>
      <c r="R43" s="119"/>
      <c r="S43" s="119"/>
      <c r="T43" s="27" t="s">
        <v>70</v>
      </c>
      <c r="U43" s="25">
        <v>1200</v>
      </c>
      <c r="V43" s="108">
        <v>600</v>
      </c>
      <c r="W43" s="148">
        <v>7.5</v>
      </c>
      <c r="X43" s="108">
        <v>7.71</v>
      </c>
      <c r="Y43" s="132"/>
      <c r="Z43" s="132"/>
      <c r="AA43" s="133"/>
      <c r="AB43" s="132"/>
      <c r="AC43" s="25">
        <v>308.65587136224599</v>
      </c>
      <c r="AD43" s="134"/>
      <c r="AE43" s="135"/>
      <c r="AF43" s="132"/>
      <c r="AG43" s="149"/>
      <c r="AH43" s="122"/>
      <c r="AI43" s="119"/>
      <c r="AJ43" s="119"/>
      <c r="AK43" s="119"/>
      <c r="AL43" s="120"/>
      <c r="AM43" s="119"/>
      <c r="AN43" s="119"/>
      <c r="AO43" s="121"/>
      <c r="AP43" s="121"/>
      <c r="AQ43" s="121"/>
      <c r="AR43" s="114"/>
    </row>
    <row r="44" spans="1:44" ht="123">
      <c r="A44" s="23" t="s">
        <v>68</v>
      </c>
      <c r="B44" s="24" t="s">
        <v>94</v>
      </c>
      <c r="C44" s="25" t="s">
        <v>80</v>
      </c>
      <c r="D44" s="25">
        <v>535</v>
      </c>
      <c r="E44" s="119"/>
      <c r="F44" s="119"/>
      <c r="G44" s="119"/>
      <c r="H44" s="119"/>
      <c r="I44" s="119"/>
      <c r="J44" s="119"/>
      <c r="K44" s="119"/>
      <c r="L44" s="25">
        <v>830</v>
      </c>
      <c r="M44" s="25">
        <v>16.34</v>
      </c>
      <c r="N44" s="119"/>
      <c r="O44" s="25">
        <v>29.4</v>
      </c>
      <c r="P44" s="119"/>
      <c r="Q44" s="119"/>
      <c r="R44" s="119"/>
      <c r="S44" s="119"/>
      <c r="T44" s="27" t="s">
        <v>70</v>
      </c>
      <c r="U44" s="25">
        <v>1200</v>
      </c>
      <c r="V44" s="108">
        <v>600</v>
      </c>
      <c r="W44" s="148">
        <v>7.5</v>
      </c>
      <c r="X44" s="108">
        <v>4.4926377516358498</v>
      </c>
      <c r="Y44" s="132"/>
      <c r="Z44" s="132"/>
      <c r="AA44" s="133"/>
      <c r="AB44" s="132"/>
      <c r="AC44" s="25">
        <v>836.36187724141405</v>
      </c>
      <c r="AD44" s="134"/>
      <c r="AE44" s="135"/>
      <c r="AF44" s="132"/>
      <c r="AG44" s="149"/>
      <c r="AH44" s="122"/>
      <c r="AI44" s="119"/>
      <c r="AJ44" s="119"/>
      <c r="AK44" s="119"/>
      <c r="AL44" s="120"/>
      <c r="AM44" s="119"/>
      <c r="AN44" s="119"/>
      <c r="AO44" s="121"/>
      <c r="AP44" s="121"/>
      <c r="AQ44" s="121"/>
      <c r="AR44" s="114"/>
    </row>
    <row r="45" spans="1:44" ht="123">
      <c r="A45" s="23" t="s">
        <v>68</v>
      </c>
      <c r="B45" s="24" t="s">
        <v>95</v>
      </c>
      <c r="C45" s="25" t="s">
        <v>80</v>
      </c>
      <c r="D45" s="25">
        <v>560</v>
      </c>
      <c r="E45" s="119"/>
      <c r="F45" s="119"/>
      <c r="G45" s="119"/>
      <c r="H45" s="119"/>
      <c r="I45" s="119"/>
      <c r="J45" s="119"/>
      <c r="K45" s="119"/>
      <c r="L45" s="25">
        <v>824</v>
      </c>
      <c r="M45" s="25"/>
      <c r="N45" s="119"/>
      <c r="O45" s="25">
        <v>30.4</v>
      </c>
      <c r="P45" s="119"/>
      <c r="Q45" s="119"/>
      <c r="R45" s="119"/>
      <c r="S45" s="119"/>
      <c r="T45" s="27" t="s">
        <v>70</v>
      </c>
      <c r="U45" s="25">
        <v>1200</v>
      </c>
      <c r="V45" s="108">
        <v>600</v>
      </c>
      <c r="W45" s="148">
        <v>7.5</v>
      </c>
      <c r="X45" s="108">
        <v>4.3170808452819402</v>
      </c>
      <c r="Y45" s="132"/>
      <c r="Z45" s="132"/>
      <c r="AA45" s="133"/>
      <c r="AB45" s="132"/>
      <c r="AC45" s="25">
        <v>808.52834180448394</v>
      </c>
      <c r="AD45" s="134"/>
      <c r="AE45" s="135"/>
      <c r="AF45" s="132"/>
      <c r="AG45" s="149"/>
      <c r="AH45" s="122"/>
      <c r="AI45" s="119"/>
      <c r="AJ45" s="119"/>
      <c r="AK45" s="119"/>
      <c r="AL45" s="120"/>
      <c r="AM45" s="119"/>
      <c r="AN45" s="119"/>
      <c r="AO45" s="121"/>
      <c r="AP45" s="121"/>
      <c r="AQ45" s="121"/>
      <c r="AR45" s="114"/>
    </row>
    <row r="46" spans="1:44" ht="123">
      <c r="A46" s="23" t="s">
        <v>68</v>
      </c>
      <c r="B46" s="24" t="s">
        <v>96</v>
      </c>
      <c r="C46" s="25" t="s">
        <v>80</v>
      </c>
      <c r="D46" s="25">
        <v>585</v>
      </c>
      <c r="E46" s="119"/>
      <c r="F46" s="119"/>
      <c r="G46" s="119"/>
      <c r="H46" s="119"/>
      <c r="I46" s="119"/>
      <c r="J46" s="119"/>
      <c r="K46" s="119"/>
      <c r="L46" s="25">
        <v>818</v>
      </c>
      <c r="M46" s="25"/>
      <c r="N46" s="119"/>
      <c r="O46" s="25">
        <v>31.099999999999998</v>
      </c>
      <c r="P46" s="119"/>
      <c r="Q46" s="119"/>
      <c r="R46" s="119"/>
      <c r="S46" s="119"/>
      <c r="T46" s="27" t="s">
        <v>70</v>
      </c>
      <c r="U46" s="25">
        <v>1200</v>
      </c>
      <c r="V46" s="150">
        <v>600</v>
      </c>
      <c r="W46" s="151">
        <v>7.5</v>
      </c>
      <c r="X46" s="150">
        <v>3.7280366145814701</v>
      </c>
      <c r="Y46" s="153"/>
      <c r="Z46" s="153"/>
      <c r="AA46" s="154"/>
      <c r="AB46" s="153"/>
      <c r="AC46" s="152">
        <v>812.66931551381595</v>
      </c>
      <c r="AD46" s="155"/>
      <c r="AE46" s="156"/>
      <c r="AF46" s="153"/>
      <c r="AG46" s="157"/>
      <c r="AH46" s="158"/>
      <c r="AI46" s="159"/>
      <c r="AJ46" s="159"/>
      <c r="AK46" s="159"/>
      <c r="AL46" s="160"/>
      <c r="AM46" s="159"/>
      <c r="AN46" s="159"/>
      <c r="AO46" s="161"/>
      <c r="AP46" s="161"/>
      <c r="AQ46" s="161"/>
      <c r="AR46" s="162"/>
    </row>
    <row r="47" spans="1:44">
      <c r="AR47"/>
    </row>
    <row r="48" spans="1:44">
      <c r="AR48"/>
    </row>
    <row r="49" spans="44:44">
      <c r="AR49"/>
    </row>
    <row r="50" spans="44:44">
      <c r="AR50"/>
    </row>
    <row r="51" spans="44:44">
      <c r="AR51"/>
    </row>
    <row r="52" spans="44:44">
      <c r="AR52"/>
    </row>
    <row r="53" spans="44:44">
      <c r="AR53"/>
    </row>
    <row r="54" spans="44:44">
      <c r="AR54"/>
    </row>
    <row r="55" spans="44:44">
      <c r="AR55"/>
    </row>
    <row r="56" spans="44:44">
      <c r="AR56"/>
    </row>
    <row r="57" spans="44:44">
      <c r="AR57"/>
    </row>
    <row r="58" spans="44:44">
      <c r="AR58"/>
    </row>
    <row r="59" spans="44:44">
      <c r="AR59"/>
    </row>
    <row r="60" spans="44:44">
      <c r="AR60"/>
    </row>
    <row r="61" spans="44:44">
      <c r="AR61"/>
    </row>
    <row r="62" spans="44:44">
      <c r="AR62"/>
    </row>
    <row r="63" spans="44:44">
      <c r="AR63"/>
    </row>
    <row r="64" spans="44:44">
      <c r="AR64"/>
    </row>
    <row r="65" spans="44:44">
      <c r="AR65"/>
    </row>
    <row r="66" spans="44:44">
      <c r="AR66"/>
    </row>
    <row r="67" spans="44:44">
      <c r="AR67"/>
    </row>
    <row r="68" spans="44:44">
      <c r="AR68"/>
    </row>
    <row r="69" spans="44:44">
      <c r="AR69"/>
    </row>
    <row r="70" spans="44:44">
      <c r="AR70"/>
    </row>
    <row r="71" spans="44:44">
      <c r="AR71"/>
    </row>
    <row r="72" spans="44:44">
      <c r="AR72"/>
    </row>
    <row r="73" spans="44:44">
      <c r="AR73"/>
    </row>
    <row r="74" spans="44:44">
      <c r="AR74"/>
    </row>
    <row r="75" spans="44:44">
      <c r="AR75"/>
    </row>
    <row r="76" spans="44:44">
      <c r="AR76"/>
    </row>
    <row r="77" spans="44:44">
      <c r="AR77"/>
    </row>
    <row r="78" spans="44:44">
      <c r="AR78"/>
    </row>
    <row r="79" spans="44:44">
      <c r="AR79"/>
    </row>
    <row r="80" spans="44:44">
      <c r="AR80"/>
    </row>
    <row r="81" spans="44:44">
      <c r="AR81"/>
    </row>
    <row r="82" spans="44:44">
      <c r="AR82"/>
    </row>
    <row r="83" spans="44:44">
      <c r="AR83"/>
    </row>
    <row r="84" spans="44:44">
      <c r="AR84"/>
    </row>
    <row r="85" spans="44:44">
      <c r="AR85"/>
    </row>
    <row r="86" spans="44:44">
      <c r="AR86"/>
    </row>
    <row r="87" spans="44:44">
      <c r="AR87"/>
    </row>
    <row r="88" spans="44:44">
      <c r="AR88"/>
    </row>
    <row r="89" spans="44:44">
      <c r="AR89"/>
    </row>
    <row r="90" spans="44:44">
      <c r="AR90"/>
    </row>
    <row r="91" spans="44:44">
      <c r="AR91"/>
    </row>
    <row r="92" spans="44:44">
      <c r="AR92"/>
    </row>
    <row r="93" spans="44:44">
      <c r="AR93"/>
    </row>
    <row r="94" spans="44:44">
      <c r="AR94"/>
    </row>
    <row r="95" spans="44:44">
      <c r="AR95"/>
    </row>
    <row r="96" spans="44:44">
      <c r="AR96"/>
    </row>
    <row r="97" spans="44:44">
      <c r="AR97"/>
    </row>
    <row r="98" spans="44:44">
      <c r="AR98"/>
    </row>
    <row r="99" spans="44:44">
      <c r="AR99"/>
    </row>
    <row r="100" spans="44:44">
      <c r="AR100"/>
    </row>
    <row r="101" spans="44:44">
      <c r="AR101"/>
    </row>
    <row r="102" spans="44:44">
      <c r="AR102"/>
    </row>
    <row r="103" spans="44:44">
      <c r="AR103"/>
    </row>
    <row r="104" spans="44:44">
      <c r="AR104"/>
    </row>
    <row r="105" spans="44:44">
      <c r="AR105"/>
    </row>
    <row r="106" spans="44:44">
      <c r="AR106"/>
    </row>
    <row r="107" spans="44:44">
      <c r="AR107"/>
    </row>
    <row r="108" spans="44:44">
      <c r="AR108"/>
    </row>
    <row r="109" spans="44:44">
      <c r="AR109"/>
    </row>
    <row r="110" spans="44:44">
      <c r="AR110"/>
    </row>
    <row r="111" spans="44:44">
      <c r="AR111"/>
    </row>
    <row r="112" spans="44:44">
      <c r="AR112"/>
    </row>
    <row r="113" spans="44:44">
      <c r="AR113"/>
    </row>
    <row r="114" spans="44:44">
      <c r="AR114"/>
    </row>
    <row r="115" spans="44:44">
      <c r="AR115"/>
    </row>
    <row r="116" spans="44:44">
      <c r="AR116"/>
    </row>
    <row r="117" spans="44:44">
      <c r="AR117"/>
    </row>
    <row r="118" spans="44:44">
      <c r="AR118"/>
    </row>
    <row r="119" spans="44:44">
      <c r="AR119"/>
    </row>
    <row r="120" spans="44:44">
      <c r="AR120"/>
    </row>
    <row r="121" spans="44:44">
      <c r="AR121"/>
    </row>
    <row r="122" spans="44:44">
      <c r="AR122"/>
    </row>
    <row r="123" spans="44:44">
      <c r="AR123"/>
    </row>
    <row r="124" spans="44:44">
      <c r="AR124"/>
    </row>
    <row r="125" spans="44:44">
      <c r="AR125"/>
    </row>
    <row r="126" spans="44:44">
      <c r="AR126"/>
    </row>
    <row r="127" spans="44:44">
      <c r="AR127"/>
    </row>
    <row r="128" spans="44:44">
      <c r="AR128"/>
    </row>
    <row r="129" spans="44:44">
      <c r="AR129"/>
    </row>
    <row r="130" spans="44:44">
      <c r="AR130"/>
    </row>
    <row r="131" spans="44:44">
      <c r="AR131"/>
    </row>
    <row r="132" spans="44:44">
      <c r="AR132"/>
    </row>
    <row r="133" spans="44:44">
      <c r="AR133"/>
    </row>
    <row r="134" spans="44:44">
      <c r="AR134"/>
    </row>
    <row r="135" spans="44:44">
      <c r="AR135"/>
    </row>
    <row r="136" spans="44:44">
      <c r="AR136"/>
    </row>
    <row r="137" spans="44:44">
      <c r="AR137"/>
    </row>
    <row r="138" spans="44:44">
      <c r="AR138"/>
    </row>
    <row r="139" spans="44:44">
      <c r="AR139"/>
    </row>
    <row r="140" spans="44:44">
      <c r="AR140"/>
    </row>
    <row r="141" spans="44:44">
      <c r="AR141"/>
    </row>
    <row r="142" spans="44:44">
      <c r="AR142"/>
    </row>
    <row r="143" spans="44:44">
      <c r="AR143"/>
    </row>
    <row r="144" spans="44:44">
      <c r="AR144"/>
    </row>
    <row r="145" spans="44:44">
      <c r="AR145"/>
    </row>
    <row r="146" spans="44:44">
      <c r="AR146"/>
    </row>
    <row r="147" spans="44:44">
      <c r="AR147"/>
    </row>
    <row r="148" spans="44:44">
      <c r="AR148"/>
    </row>
    <row r="149" spans="44:44">
      <c r="AR149"/>
    </row>
    <row r="150" spans="44:44">
      <c r="AR150"/>
    </row>
    <row r="151" spans="44:44">
      <c r="AR151"/>
    </row>
    <row r="152" spans="44:44">
      <c r="AR152"/>
    </row>
    <row r="153" spans="44:44">
      <c r="AR153"/>
    </row>
    <row r="154" spans="44:44">
      <c r="AR154"/>
    </row>
    <row r="155" spans="44:44">
      <c r="AR155"/>
    </row>
    <row r="156" spans="44:44">
      <c r="AR156"/>
    </row>
    <row r="157" spans="44:44">
      <c r="AR157"/>
    </row>
    <row r="158" spans="44:44">
      <c r="AR158"/>
    </row>
    <row r="159" spans="44:44">
      <c r="AR159"/>
    </row>
    <row r="160" spans="44:44">
      <c r="AR160"/>
    </row>
    <row r="161" spans="44:44">
      <c r="AR161"/>
    </row>
    <row r="162" spans="44:44">
      <c r="AR162"/>
    </row>
    <row r="163" spans="44:44">
      <c r="AR163"/>
    </row>
    <row r="164" spans="44:44">
      <c r="AR164"/>
    </row>
    <row r="165" spans="44:44">
      <c r="AR165"/>
    </row>
    <row r="166" spans="44:44">
      <c r="AR166"/>
    </row>
    <row r="167" spans="44:44">
      <c r="AR167"/>
    </row>
    <row r="168" spans="44:44">
      <c r="AR168"/>
    </row>
    <row r="169" spans="44:44">
      <c r="AR169"/>
    </row>
    <row r="170" spans="44:44">
      <c r="AR170"/>
    </row>
    <row r="171" spans="44:44">
      <c r="AR171"/>
    </row>
    <row r="172" spans="44:44">
      <c r="AR172"/>
    </row>
    <row r="173" spans="44:44">
      <c r="AR173"/>
    </row>
    <row r="174" spans="44:44">
      <c r="AR174"/>
    </row>
    <row r="175" spans="44:44">
      <c r="AR175"/>
    </row>
    <row r="176" spans="44:44">
      <c r="AR176"/>
    </row>
    <row r="177" spans="44:44">
      <c r="AR177"/>
    </row>
    <row r="178" spans="44:44">
      <c r="AR178"/>
    </row>
    <row r="179" spans="44:44">
      <c r="AR179"/>
    </row>
    <row r="180" spans="44:44">
      <c r="AR180"/>
    </row>
    <row r="181" spans="44:44">
      <c r="AR181"/>
    </row>
    <row r="182" spans="44:44">
      <c r="AR182"/>
    </row>
    <row r="183" spans="44:44">
      <c r="AR183"/>
    </row>
    <row r="184" spans="44:44">
      <c r="AR184"/>
    </row>
    <row r="185" spans="44:44">
      <c r="AR185"/>
    </row>
    <row r="186" spans="44:44">
      <c r="AR186"/>
    </row>
    <row r="187" spans="44:44">
      <c r="AR187"/>
    </row>
    <row r="188" spans="44:44">
      <c r="AR188"/>
    </row>
    <row r="189" spans="44:44">
      <c r="AR189"/>
    </row>
    <row r="190" spans="44:44">
      <c r="AR190"/>
    </row>
    <row r="191" spans="44:44">
      <c r="AR191"/>
    </row>
    <row r="192" spans="44:44">
      <c r="AR192"/>
    </row>
    <row r="193" spans="44:44">
      <c r="AR193"/>
    </row>
    <row r="194" spans="44:44">
      <c r="AR194"/>
    </row>
    <row r="195" spans="44:44">
      <c r="AR195"/>
    </row>
    <row r="196" spans="44:44">
      <c r="AR196"/>
    </row>
    <row r="197" spans="44:44">
      <c r="AR197"/>
    </row>
    <row r="198" spans="44:44">
      <c r="AR198"/>
    </row>
    <row r="199" spans="44:44">
      <c r="AR199"/>
    </row>
    <row r="200" spans="44:44">
      <c r="AR200"/>
    </row>
    <row r="201" spans="44:44">
      <c r="AR201"/>
    </row>
    <row r="202" spans="44:44">
      <c r="AR202"/>
    </row>
    <row r="203" spans="44:44">
      <c r="AR203"/>
    </row>
    <row r="204" spans="44:44">
      <c r="AR204"/>
    </row>
    <row r="205" spans="44:44">
      <c r="AR205"/>
    </row>
    <row r="206" spans="44:44">
      <c r="AR206"/>
    </row>
    <row r="207" spans="44:44">
      <c r="AR207"/>
    </row>
    <row r="208" spans="44:44">
      <c r="AR208"/>
    </row>
    <row r="209" spans="44:44">
      <c r="AR209"/>
    </row>
    <row r="210" spans="44:44">
      <c r="AR210"/>
    </row>
    <row r="211" spans="44:44">
      <c r="AR211"/>
    </row>
    <row r="212" spans="44:44">
      <c r="AR212"/>
    </row>
    <row r="213" spans="44:44">
      <c r="AR213"/>
    </row>
    <row r="214" spans="44:44">
      <c r="AR214"/>
    </row>
    <row r="215" spans="44:44">
      <c r="AR215"/>
    </row>
    <row r="216" spans="44:44">
      <c r="AR216"/>
    </row>
    <row r="217" spans="44:44">
      <c r="AR217"/>
    </row>
    <row r="218" spans="44:44">
      <c r="AR218"/>
    </row>
    <row r="219" spans="44:44">
      <c r="AR219"/>
    </row>
    <row r="220" spans="44:44">
      <c r="AR220"/>
    </row>
    <row r="221" spans="44:44">
      <c r="AR221"/>
    </row>
    <row r="222" spans="44:44">
      <c r="AR222"/>
    </row>
    <row r="223" spans="44:44">
      <c r="AR223"/>
    </row>
    <row r="224" spans="44:44">
      <c r="AR224"/>
    </row>
    <row r="225" spans="44:44">
      <c r="AR225"/>
    </row>
    <row r="226" spans="44:44">
      <c r="AR226"/>
    </row>
    <row r="227" spans="44:44">
      <c r="AR227"/>
    </row>
    <row r="228" spans="44:44">
      <c r="AR228"/>
    </row>
    <row r="229" spans="44:44">
      <c r="AR229"/>
    </row>
    <row r="230" spans="44:44">
      <c r="AR230"/>
    </row>
    <row r="231" spans="44:44">
      <c r="AR231"/>
    </row>
    <row r="232" spans="44:44">
      <c r="AR232"/>
    </row>
    <row r="233" spans="44:44">
      <c r="AR233"/>
    </row>
    <row r="234" spans="44:44">
      <c r="AR234"/>
    </row>
    <row r="235" spans="44:44">
      <c r="AR235"/>
    </row>
    <row r="236" spans="44:44">
      <c r="AR236"/>
    </row>
    <row r="237" spans="44:44">
      <c r="AR237"/>
    </row>
    <row r="238" spans="44:44">
      <c r="AR238"/>
    </row>
    <row r="239" spans="44:44">
      <c r="AR239"/>
    </row>
    <row r="240" spans="44:44">
      <c r="AR240"/>
    </row>
    <row r="241" spans="44:44">
      <c r="AR241"/>
    </row>
    <row r="242" spans="44:44">
      <c r="AR242"/>
    </row>
    <row r="243" spans="44:44">
      <c r="AR243"/>
    </row>
    <row r="244" spans="44:44">
      <c r="AR244"/>
    </row>
    <row r="245" spans="44:44">
      <c r="AR245"/>
    </row>
    <row r="246" spans="44:44">
      <c r="AR246"/>
    </row>
    <row r="247" spans="44:44">
      <c r="AR247"/>
    </row>
    <row r="248" spans="44:44">
      <c r="AR248"/>
    </row>
    <row r="249" spans="44:44">
      <c r="AR249"/>
    </row>
    <row r="250" spans="44:44">
      <c r="AR250"/>
    </row>
    <row r="251" spans="44:44">
      <c r="AR251"/>
    </row>
    <row r="252" spans="44:44">
      <c r="AR252"/>
    </row>
    <row r="253" spans="44:44">
      <c r="AR253"/>
    </row>
    <row r="254" spans="44:44">
      <c r="AR254"/>
    </row>
    <row r="255" spans="44:44">
      <c r="AR255"/>
    </row>
    <row r="256" spans="44:44">
      <c r="AR256"/>
    </row>
    <row r="257" spans="44:44">
      <c r="AR257"/>
    </row>
    <row r="258" spans="44:44">
      <c r="AR258"/>
    </row>
    <row r="259" spans="44:44">
      <c r="AR259"/>
    </row>
    <row r="260" spans="44:44">
      <c r="AR260"/>
    </row>
    <row r="261" spans="44:44">
      <c r="AR261"/>
    </row>
    <row r="262" spans="44:44">
      <c r="AR262"/>
    </row>
    <row r="263" spans="44:44">
      <c r="AR263"/>
    </row>
    <row r="264" spans="44:44">
      <c r="AR264"/>
    </row>
    <row r="265" spans="44:44">
      <c r="AR265"/>
    </row>
    <row r="266" spans="44:44">
      <c r="AR266"/>
    </row>
    <row r="267" spans="44:44">
      <c r="AR267"/>
    </row>
    <row r="268" spans="44:44">
      <c r="AR268"/>
    </row>
    <row r="269" spans="44:44">
      <c r="AR269"/>
    </row>
    <row r="270" spans="44:44">
      <c r="AR270"/>
    </row>
    <row r="271" spans="44:44">
      <c r="AR271"/>
    </row>
    <row r="272" spans="44:44">
      <c r="AR272"/>
    </row>
    <row r="273" spans="44:44">
      <c r="AR273"/>
    </row>
    <row r="274" spans="44:44">
      <c r="AR274"/>
    </row>
    <row r="275" spans="44:44">
      <c r="AR275"/>
    </row>
    <row r="276" spans="44:44">
      <c r="AR276"/>
    </row>
    <row r="277" spans="44:44">
      <c r="AR277"/>
    </row>
    <row r="278" spans="44:44">
      <c r="AR278"/>
    </row>
    <row r="279" spans="44:44">
      <c r="AR279"/>
    </row>
    <row r="280" spans="44:44">
      <c r="AR280"/>
    </row>
    <row r="281" spans="44:44">
      <c r="AR281"/>
    </row>
    <row r="282" spans="44:44">
      <c r="AR282"/>
    </row>
    <row r="283" spans="44:44">
      <c r="AR283"/>
    </row>
    <row r="284" spans="44:44">
      <c r="AR284"/>
    </row>
    <row r="285" spans="44:44">
      <c r="AR285"/>
    </row>
    <row r="286" spans="44:44">
      <c r="AR286"/>
    </row>
    <row r="287" spans="44:44">
      <c r="AR287"/>
    </row>
    <row r="288" spans="44:44">
      <c r="AR288"/>
    </row>
    <row r="289" spans="44:44">
      <c r="AR289"/>
    </row>
    <row r="290" spans="44:44">
      <c r="AR290"/>
    </row>
    <row r="291" spans="44:44">
      <c r="AR291"/>
    </row>
    <row r="292" spans="44:44">
      <c r="AR292"/>
    </row>
    <row r="293" spans="44:44">
      <c r="AR293"/>
    </row>
    <row r="294" spans="44:44">
      <c r="AR294"/>
    </row>
    <row r="295" spans="44:44">
      <c r="AR295"/>
    </row>
    <row r="296" spans="44:44">
      <c r="AR296"/>
    </row>
    <row r="297" spans="44:44">
      <c r="AR297"/>
    </row>
    <row r="298" spans="44:44">
      <c r="AR298"/>
    </row>
    <row r="299" spans="44:44">
      <c r="AR299"/>
    </row>
    <row r="300" spans="44:44">
      <c r="AR300"/>
    </row>
    <row r="301" spans="44:44">
      <c r="AR301"/>
    </row>
    <row r="302" spans="44:44">
      <c r="AR302"/>
    </row>
    <row r="303" spans="44:44">
      <c r="AR303"/>
    </row>
    <row r="304" spans="44:44">
      <c r="AR304"/>
    </row>
    <row r="305" spans="44:44">
      <c r="AR305"/>
    </row>
    <row r="306" spans="44:44">
      <c r="AR306"/>
    </row>
    <row r="307" spans="44:44">
      <c r="AR307"/>
    </row>
    <row r="308" spans="44:44">
      <c r="AR308"/>
    </row>
    <row r="309" spans="44:44">
      <c r="AR309"/>
    </row>
    <row r="310" spans="44:44">
      <c r="AR310"/>
    </row>
    <row r="311" spans="44:44">
      <c r="AR311"/>
    </row>
    <row r="312" spans="44:44">
      <c r="AR312"/>
    </row>
    <row r="313" spans="44:44">
      <c r="AR313"/>
    </row>
    <row r="314" spans="44:44">
      <c r="AR314"/>
    </row>
    <row r="315" spans="44:44">
      <c r="AR315"/>
    </row>
    <row r="316" spans="44:44">
      <c r="AR316"/>
    </row>
    <row r="317" spans="44:44">
      <c r="AR317"/>
    </row>
    <row r="318" spans="44:44">
      <c r="AR318"/>
    </row>
    <row r="319" spans="44:44">
      <c r="AR319"/>
    </row>
    <row r="320" spans="44:44">
      <c r="AR320"/>
    </row>
    <row r="321" spans="44:44">
      <c r="AR321"/>
    </row>
    <row r="322" spans="44:44">
      <c r="AR322"/>
    </row>
    <row r="323" spans="44:44">
      <c r="AR323"/>
    </row>
    <row r="324" spans="44:44">
      <c r="AR324"/>
    </row>
    <row r="325" spans="44:44">
      <c r="AR325"/>
    </row>
    <row r="326" spans="44:44">
      <c r="AR326"/>
    </row>
    <row r="327" spans="44:44">
      <c r="AR327"/>
    </row>
    <row r="328" spans="44:44">
      <c r="AR328"/>
    </row>
    <row r="329" spans="44:44">
      <c r="AR329"/>
    </row>
    <row r="330" spans="44:44">
      <c r="AR330"/>
    </row>
    <row r="331" spans="44:44">
      <c r="AR331"/>
    </row>
    <row r="332" spans="44:44">
      <c r="AR332"/>
    </row>
    <row r="333" spans="44:44">
      <c r="AR333"/>
    </row>
    <row r="334" spans="44:44">
      <c r="AR334"/>
    </row>
    <row r="335" spans="44:44">
      <c r="AR335"/>
    </row>
    <row r="336" spans="44:44">
      <c r="AR336"/>
    </row>
    <row r="337" spans="44:44">
      <c r="AR337"/>
    </row>
    <row r="338" spans="44:44">
      <c r="AR338"/>
    </row>
    <row r="339" spans="44:44">
      <c r="AR339"/>
    </row>
    <row r="340" spans="44:44">
      <c r="AR340"/>
    </row>
    <row r="341" spans="44:44">
      <c r="AR341"/>
    </row>
    <row r="342" spans="44:44">
      <c r="AR342"/>
    </row>
    <row r="343" spans="44:44">
      <c r="AR343"/>
    </row>
    <row r="344" spans="44:44">
      <c r="AR344"/>
    </row>
    <row r="345" spans="44:44">
      <c r="AR345"/>
    </row>
    <row r="346" spans="44:44">
      <c r="AR346"/>
    </row>
    <row r="347" spans="44:44">
      <c r="AR347"/>
    </row>
    <row r="348" spans="44:44">
      <c r="AR348"/>
    </row>
    <row r="349" spans="44:44">
      <c r="AR349"/>
    </row>
    <row r="350" spans="44:44">
      <c r="AR350"/>
    </row>
    <row r="351" spans="44:44">
      <c r="AR351"/>
    </row>
    <row r="352" spans="44:44">
      <c r="AR352"/>
    </row>
    <row r="353" spans="44:44">
      <c r="AR353"/>
    </row>
    <row r="354" spans="44:44">
      <c r="AR354"/>
    </row>
    <row r="355" spans="44:44">
      <c r="AR355"/>
    </row>
    <row r="356" spans="44:44">
      <c r="AR356"/>
    </row>
    <row r="357" spans="44:44">
      <c r="AR357"/>
    </row>
    <row r="358" spans="44:44">
      <c r="AR358"/>
    </row>
    <row r="359" spans="44:44">
      <c r="AR359"/>
    </row>
    <row r="360" spans="44:44">
      <c r="AR360"/>
    </row>
    <row r="361" spans="44:44">
      <c r="AR361"/>
    </row>
    <row r="362" spans="44:44">
      <c r="AR362"/>
    </row>
    <row r="363" spans="44:44">
      <c r="AR363"/>
    </row>
    <row r="364" spans="44:44">
      <c r="AR364"/>
    </row>
    <row r="365" spans="44:44">
      <c r="AR365"/>
    </row>
    <row r="366" spans="44:44">
      <c r="AR366"/>
    </row>
    <row r="367" spans="44:44">
      <c r="AR367"/>
    </row>
    <row r="368" spans="44:44">
      <c r="AR368"/>
    </row>
    <row r="369" spans="44:44">
      <c r="AR369"/>
    </row>
    <row r="370" spans="44:44">
      <c r="AR370"/>
    </row>
    <row r="371" spans="44:44">
      <c r="AR371"/>
    </row>
    <row r="372" spans="44:44">
      <c r="AR372"/>
    </row>
    <row r="373" spans="44:44">
      <c r="AR373"/>
    </row>
    <row r="374" spans="44:44">
      <c r="AR374"/>
    </row>
    <row r="375" spans="44:44">
      <c r="AR375"/>
    </row>
    <row r="376" spans="44:44">
      <c r="AR376"/>
    </row>
    <row r="377" spans="44:44">
      <c r="AR377"/>
    </row>
    <row r="378" spans="44:44">
      <c r="AR378"/>
    </row>
    <row r="379" spans="44:44">
      <c r="AR379"/>
    </row>
    <row r="380" spans="44:44">
      <c r="AR380"/>
    </row>
    <row r="381" spans="44:44">
      <c r="AR381"/>
    </row>
    <row r="382" spans="44:44">
      <c r="AR382"/>
    </row>
    <row r="383" spans="44:44">
      <c r="AR383"/>
    </row>
    <row r="384" spans="44:44">
      <c r="AR384"/>
    </row>
    <row r="385" spans="44:44">
      <c r="AR385"/>
    </row>
    <row r="386" spans="44:44">
      <c r="AR386"/>
    </row>
    <row r="387" spans="44:44">
      <c r="AR387"/>
    </row>
    <row r="388" spans="44:44">
      <c r="AR388"/>
    </row>
    <row r="389" spans="44:44">
      <c r="AR389"/>
    </row>
    <row r="390" spans="44:44">
      <c r="AR390"/>
    </row>
    <row r="391" spans="44:44">
      <c r="AR391"/>
    </row>
    <row r="392" spans="44:44">
      <c r="AR392"/>
    </row>
    <row r="393" spans="44:44">
      <c r="AR393"/>
    </row>
    <row r="394" spans="44:44">
      <c r="AR394"/>
    </row>
    <row r="395" spans="44:44">
      <c r="AR395"/>
    </row>
    <row r="396" spans="44:44">
      <c r="AR396"/>
    </row>
    <row r="397" spans="44:44">
      <c r="AR397"/>
    </row>
    <row r="398" spans="44:44">
      <c r="AR398"/>
    </row>
    <row r="399" spans="44:44">
      <c r="AR399"/>
    </row>
    <row r="400" spans="44:44">
      <c r="AR400"/>
    </row>
    <row r="401" spans="44:44">
      <c r="AR401"/>
    </row>
    <row r="402" spans="44:44">
      <c r="AR402"/>
    </row>
    <row r="403" spans="44:44">
      <c r="AR403"/>
    </row>
    <row r="404" spans="44:44">
      <c r="AR404"/>
    </row>
    <row r="405" spans="44:44">
      <c r="AR405"/>
    </row>
    <row r="406" spans="44:44">
      <c r="AR406"/>
    </row>
    <row r="407" spans="44:44">
      <c r="AR407"/>
    </row>
    <row r="408" spans="44:44">
      <c r="AR408"/>
    </row>
    <row r="409" spans="44:44">
      <c r="AR409"/>
    </row>
    <row r="410" spans="44:44">
      <c r="AR410"/>
    </row>
    <row r="411" spans="44:44">
      <c r="AR411"/>
    </row>
    <row r="412" spans="44:44">
      <c r="AR412"/>
    </row>
    <row r="413" spans="44:44">
      <c r="AR413"/>
    </row>
    <row r="414" spans="44:44">
      <c r="AR414"/>
    </row>
    <row r="415" spans="44:44">
      <c r="AR415"/>
    </row>
    <row r="416" spans="44:44">
      <c r="AR416"/>
    </row>
    <row r="417" spans="44:44">
      <c r="AR417"/>
    </row>
    <row r="418" spans="44:44">
      <c r="AR418"/>
    </row>
    <row r="419" spans="44:44">
      <c r="AR419"/>
    </row>
    <row r="420" spans="44:44">
      <c r="AR420"/>
    </row>
    <row r="421" spans="44:44">
      <c r="AR421"/>
    </row>
    <row r="422" spans="44:44">
      <c r="AR422"/>
    </row>
    <row r="423" spans="44:44">
      <c r="AR423"/>
    </row>
    <row r="424" spans="44:44">
      <c r="AR424"/>
    </row>
    <row r="425" spans="44:44">
      <c r="AR425"/>
    </row>
    <row r="426" spans="44:44">
      <c r="AR426"/>
    </row>
    <row r="427" spans="44:44">
      <c r="AR427"/>
    </row>
    <row r="428" spans="44:44">
      <c r="AR428"/>
    </row>
    <row r="429" spans="44:44">
      <c r="AR429"/>
    </row>
    <row r="430" spans="44:44">
      <c r="AR430"/>
    </row>
    <row r="431" spans="44:44">
      <c r="AR431"/>
    </row>
    <row r="432" spans="44:44">
      <c r="AR432"/>
    </row>
    <row r="433" spans="44:44">
      <c r="AR433"/>
    </row>
    <row r="434" spans="44:44">
      <c r="AR434"/>
    </row>
    <row r="435" spans="44:44">
      <c r="AR435"/>
    </row>
    <row r="436" spans="44:44">
      <c r="AR436"/>
    </row>
    <row r="437" spans="44:44">
      <c r="AR437"/>
    </row>
    <row r="438" spans="44:44">
      <c r="AR438"/>
    </row>
    <row r="439" spans="44:44">
      <c r="AR439"/>
    </row>
    <row r="440" spans="44:44">
      <c r="AR440"/>
    </row>
    <row r="441" spans="44:44">
      <c r="AR441"/>
    </row>
    <row r="442" spans="44:44">
      <c r="AR442"/>
    </row>
    <row r="443" spans="44:44">
      <c r="AR443"/>
    </row>
    <row r="444" spans="44:44">
      <c r="AR444"/>
    </row>
    <row r="445" spans="44:44">
      <c r="AR445"/>
    </row>
    <row r="446" spans="44:44">
      <c r="AR446"/>
    </row>
    <row r="447" spans="44:44">
      <c r="AR447"/>
    </row>
    <row r="448" spans="44:44">
      <c r="AR448"/>
    </row>
    <row r="449" spans="44:44">
      <c r="AR449"/>
    </row>
    <row r="450" spans="44:44">
      <c r="AR450"/>
    </row>
    <row r="451" spans="44:44">
      <c r="AR451"/>
    </row>
    <row r="452" spans="44:44">
      <c r="AR452"/>
    </row>
    <row r="453" spans="44:44">
      <c r="AR453"/>
    </row>
    <row r="454" spans="44:44">
      <c r="AR454"/>
    </row>
    <row r="455" spans="44:44">
      <c r="AR455"/>
    </row>
    <row r="456" spans="44:44">
      <c r="AR456"/>
    </row>
    <row r="457" spans="44:44">
      <c r="AR457"/>
    </row>
    <row r="458" spans="44:44">
      <c r="AR458"/>
    </row>
    <row r="459" spans="44:44">
      <c r="AR459"/>
    </row>
    <row r="460" spans="44:44">
      <c r="AR460"/>
    </row>
    <row r="461" spans="44:44">
      <c r="AR461"/>
    </row>
    <row r="462" spans="44:44">
      <c r="AR462"/>
    </row>
    <row r="463" spans="44:44">
      <c r="AR463"/>
    </row>
    <row r="464" spans="44:44">
      <c r="AR464"/>
    </row>
    <row r="465" spans="44:44">
      <c r="AR465"/>
    </row>
    <row r="466" spans="44:44">
      <c r="AR466"/>
    </row>
    <row r="467" spans="44:44">
      <c r="AR467"/>
    </row>
    <row r="468" spans="44:44">
      <c r="AR468"/>
    </row>
    <row r="469" spans="44:44">
      <c r="AR469"/>
    </row>
    <row r="470" spans="44:44">
      <c r="AR470"/>
    </row>
    <row r="471" spans="44:44">
      <c r="AR471"/>
    </row>
    <row r="472" spans="44:44">
      <c r="AR472"/>
    </row>
    <row r="473" spans="44:44">
      <c r="AR473"/>
    </row>
    <row r="474" spans="44:44">
      <c r="AR474"/>
    </row>
    <row r="475" spans="44:44">
      <c r="AR475"/>
    </row>
    <row r="476" spans="44:44">
      <c r="AR476"/>
    </row>
    <row r="477" spans="44:44">
      <c r="AR477"/>
    </row>
    <row r="478" spans="44:44">
      <c r="AR478"/>
    </row>
    <row r="479" spans="44:44">
      <c r="AR479"/>
    </row>
    <row r="480" spans="44:44">
      <c r="AR480"/>
    </row>
    <row r="481" spans="44:44">
      <c r="AR481"/>
    </row>
    <row r="482" spans="44:44">
      <c r="AR482"/>
    </row>
    <row r="483" spans="44:44">
      <c r="AR483"/>
    </row>
    <row r="484" spans="44:44">
      <c r="AR484"/>
    </row>
    <row r="485" spans="44:44">
      <c r="AR485"/>
    </row>
    <row r="486" spans="44:44">
      <c r="AR486"/>
    </row>
    <row r="487" spans="44:44">
      <c r="AR487"/>
    </row>
    <row r="488" spans="44:44">
      <c r="AR488"/>
    </row>
    <row r="489" spans="44:44">
      <c r="AR489"/>
    </row>
    <row r="490" spans="44:44">
      <c r="AR490"/>
    </row>
    <row r="491" spans="44:44">
      <c r="AR491"/>
    </row>
    <row r="492" spans="44:44">
      <c r="AR492"/>
    </row>
    <row r="493" spans="44:44">
      <c r="AR493"/>
    </row>
    <row r="494" spans="44:44">
      <c r="AR494"/>
    </row>
    <row r="495" spans="44:44">
      <c r="AR495"/>
    </row>
    <row r="496" spans="44:44">
      <c r="AR496"/>
    </row>
    <row r="497" spans="44:44">
      <c r="AR497"/>
    </row>
    <row r="498" spans="44:44">
      <c r="AR498"/>
    </row>
    <row r="499" spans="44:44">
      <c r="AR499"/>
    </row>
    <row r="500" spans="44:44">
      <c r="AR500"/>
    </row>
    <row r="501" spans="44:44">
      <c r="AR501"/>
    </row>
    <row r="502" spans="44:44">
      <c r="AR502"/>
    </row>
    <row r="503" spans="44:44">
      <c r="AR503"/>
    </row>
    <row r="504" spans="44:44">
      <c r="AR504"/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C407-EA8C-4FA6-8F94-E2C4A35FB008}">
  <dimension ref="A1:AL64"/>
  <sheetViews>
    <sheetView topLeftCell="K1" zoomScale="59" zoomScaleNormal="10" workbookViewId="0">
      <selection activeCell="M1" sqref="M1"/>
    </sheetView>
  </sheetViews>
  <sheetFormatPr defaultColWidth="9.08984375" defaultRowHeight="14.5"/>
  <cols>
    <col min="1" max="3" width="29.453125" style="3" customWidth="1"/>
    <col min="4" max="4" width="21.453125" style="3" customWidth="1"/>
    <col min="5" max="5" width="28.453125" style="3" customWidth="1"/>
    <col min="6" max="6" width="18.08984375" style="3" customWidth="1"/>
    <col min="7" max="7" width="10.90625" style="3" customWidth="1"/>
    <col min="8" max="11" width="9" style="3" bestFit="1" customWidth="1"/>
    <col min="12" max="13" width="16.90625" style="3" customWidth="1"/>
    <col min="14" max="14" width="18.08984375" style="3" customWidth="1"/>
    <col min="15" max="15" width="32.90625" style="3" customWidth="1"/>
    <col min="16" max="19" width="9" style="3" bestFit="1" customWidth="1"/>
    <col min="20" max="20" width="15.453125" style="3" customWidth="1"/>
    <col min="21" max="21" width="9" style="3" bestFit="1" customWidth="1"/>
    <col min="22" max="23" width="11.08984375" style="3" customWidth="1"/>
    <col min="24" max="29" width="9.08984375" style="3"/>
    <col min="30" max="31" width="28.08984375" style="3" customWidth="1"/>
    <col min="32" max="32" width="21.453125" style="3" customWidth="1"/>
    <col min="33" max="16384" width="9.08984375" style="3"/>
  </cols>
  <sheetData>
    <row r="1" spans="1:38" ht="72.5">
      <c r="A1" s="2" t="s">
        <v>0</v>
      </c>
      <c r="B1" s="2" t="s">
        <v>97</v>
      </c>
      <c r="C1" s="2" t="s">
        <v>448</v>
      </c>
      <c r="D1" s="2" t="s">
        <v>98</v>
      </c>
      <c r="E1" s="2" t="s">
        <v>2</v>
      </c>
      <c r="F1" s="2" t="s">
        <v>99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452</v>
      </c>
      <c r="M1" s="2" t="s">
        <v>454</v>
      </c>
      <c r="N1" s="2" t="s">
        <v>100</v>
      </c>
      <c r="O1" s="2" t="s">
        <v>101</v>
      </c>
      <c r="P1" s="2" t="s">
        <v>102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453</v>
      </c>
      <c r="X1" s="2" t="s">
        <v>21</v>
      </c>
      <c r="Y1" s="2" t="s">
        <v>22</v>
      </c>
      <c r="Z1" s="2" t="s">
        <v>103</v>
      </c>
      <c r="AA1" s="2" t="s">
        <v>104</v>
      </c>
      <c r="AB1" s="2" t="s">
        <v>24</v>
      </c>
      <c r="AC1" s="2" t="s">
        <v>25</v>
      </c>
      <c r="AD1" s="2" t="s">
        <v>105</v>
      </c>
      <c r="AE1" s="2" t="s">
        <v>106</v>
      </c>
      <c r="AF1" s="2" t="s">
        <v>107</v>
      </c>
      <c r="AG1" s="2" t="s">
        <v>108</v>
      </c>
      <c r="AH1" s="2" t="s">
        <v>26</v>
      </c>
    </row>
    <row r="2" spans="1:38" ht="82">
      <c r="A2" s="163" t="s">
        <v>109</v>
      </c>
      <c r="B2" s="165" t="s">
        <v>110</v>
      </c>
      <c r="C2" s="165" t="s">
        <v>111</v>
      </c>
      <c r="D2" s="166" t="s">
        <v>112</v>
      </c>
      <c r="E2" s="166" t="s">
        <v>113</v>
      </c>
      <c r="F2" s="166">
        <v>449</v>
      </c>
      <c r="G2" s="166">
        <v>0</v>
      </c>
      <c r="H2" s="166">
        <v>0</v>
      </c>
      <c r="I2" s="166">
        <v>0</v>
      </c>
      <c r="J2" s="166">
        <v>0</v>
      </c>
      <c r="K2" s="166">
        <v>0</v>
      </c>
      <c r="L2" s="166">
        <v>820</v>
      </c>
      <c r="M2" s="166">
        <v>5.78</v>
      </c>
      <c r="N2" s="166">
        <v>7.05</v>
      </c>
      <c r="O2" s="166">
        <v>2.6700000000000002E-2</v>
      </c>
      <c r="P2" s="166"/>
      <c r="Q2" s="166"/>
      <c r="R2" s="166"/>
      <c r="S2" s="166">
        <v>12.32</v>
      </c>
      <c r="T2" s="166" t="s">
        <v>31</v>
      </c>
      <c r="U2" s="166">
        <v>1200</v>
      </c>
      <c r="V2" s="166">
        <v>600</v>
      </c>
      <c r="W2" s="166">
        <v>7.5</v>
      </c>
      <c r="X2" s="166">
        <v>8.1</v>
      </c>
      <c r="Y2" s="166"/>
      <c r="Z2" s="166">
        <v>168.4</v>
      </c>
      <c r="AA2" s="166">
        <v>700</v>
      </c>
      <c r="AB2" s="166"/>
      <c r="AC2" s="166"/>
      <c r="AD2" s="166">
        <v>2</v>
      </c>
      <c r="AE2" s="166">
        <v>11.5</v>
      </c>
      <c r="AF2" s="166"/>
      <c r="AG2" s="166"/>
      <c r="AH2" s="166"/>
    </row>
    <row r="3" spans="1:38" ht="82">
      <c r="A3" s="163" t="s">
        <v>109</v>
      </c>
      <c r="B3" s="165" t="s">
        <v>114</v>
      </c>
      <c r="C3" s="165" t="s">
        <v>111</v>
      </c>
      <c r="D3" s="166" t="s">
        <v>112</v>
      </c>
      <c r="E3" s="166" t="s">
        <v>115</v>
      </c>
      <c r="F3" s="166">
        <v>468</v>
      </c>
      <c r="G3" s="166">
        <v>0</v>
      </c>
      <c r="H3" s="166">
        <v>0</v>
      </c>
      <c r="I3" s="166">
        <v>0</v>
      </c>
      <c r="J3" s="166">
        <v>0</v>
      </c>
      <c r="K3" s="166">
        <v>0</v>
      </c>
      <c r="L3" s="166">
        <v>823</v>
      </c>
      <c r="M3" s="166">
        <v>7.49</v>
      </c>
      <c r="N3" s="166">
        <v>9.1</v>
      </c>
      <c r="O3" s="166">
        <v>2.7099999999999999E-2</v>
      </c>
      <c r="P3" s="166"/>
      <c r="Q3" s="166"/>
      <c r="R3" s="166"/>
      <c r="S3" s="166">
        <v>12.08</v>
      </c>
      <c r="T3" s="166" t="s">
        <v>31</v>
      </c>
      <c r="U3" s="166">
        <v>1200</v>
      </c>
      <c r="V3" s="166">
        <v>600</v>
      </c>
      <c r="W3" s="166">
        <v>7.5</v>
      </c>
      <c r="X3" s="166">
        <v>8.1</v>
      </c>
      <c r="Y3" s="166"/>
      <c r="Z3" s="166">
        <v>173.8</v>
      </c>
      <c r="AA3" s="166">
        <v>750</v>
      </c>
      <c r="AB3" s="166"/>
      <c r="AC3" s="166"/>
      <c r="AD3" s="166">
        <v>2.6</v>
      </c>
      <c r="AE3" s="166">
        <v>32</v>
      </c>
      <c r="AF3" s="166"/>
      <c r="AG3" s="166"/>
      <c r="AH3" s="166"/>
    </row>
    <row r="4" spans="1:38" ht="82">
      <c r="A4" s="163" t="s">
        <v>109</v>
      </c>
      <c r="B4" s="165" t="s">
        <v>116</v>
      </c>
      <c r="C4" s="165" t="s">
        <v>111</v>
      </c>
      <c r="D4" s="166" t="s">
        <v>112</v>
      </c>
      <c r="E4" s="166" t="s">
        <v>117</v>
      </c>
      <c r="F4" s="166">
        <v>535</v>
      </c>
      <c r="G4" s="166">
        <v>0</v>
      </c>
      <c r="H4" s="166">
        <v>0</v>
      </c>
      <c r="I4" s="166">
        <v>0</v>
      </c>
      <c r="J4" s="166">
        <v>0</v>
      </c>
      <c r="K4" s="166">
        <v>0</v>
      </c>
      <c r="L4" s="166">
        <v>830</v>
      </c>
      <c r="M4" s="166">
        <v>16.34</v>
      </c>
      <c r="N4" s="166">
        <v>19.690000000000001</v>
      </c>
      <c r="O4" s="166">
        <v>2.9399999999999999E-2</v>
      </c>
      <c r="P4" s="166"/>
      <c r="Q4" s="166"/>
      <c r="R4" s="166"/>
      <c r="S4" s="166">
        <v>10.99</v>
      </c>
      <c r="T4" s="166" t="s">
        <v>31</v>
      </c>
      <c r="U4" s="166">
        <v>1200</v>
      </c>
      <c r="V4" s="166">
        <v>600</v>
      </c>
      <c r="W4" s="166">
        <v>7.5</v>
      </c>
      <c r="X4" s="166">
        <v>5.3</v>
      </c>
      <c r="Y4" s="166"/>
      <c r="Z4" s="166">
        <v>94.7</v>
      </c>
      <c r="AA4" s="166">
        <v>650</v>
      </c>
      <c r="AB4" s="166"/>
      <c r="AC4" s="166"/>
      <c r="AD4" s="166">
        <v>0</v>
      </c>
      <c r="AE4" s="166">
        <v>-4.2</v>
      </c>
      <c r="AF4" s="166"/>
      <c r="AG4" s="166"/>
      <c r="AH4" s="166"/>
    </row>
    <row r="5" spans="1:38" ht="82">
      <c r="A5" s="163" t="s">
        <v>109</v>
      </c>
      <c r="B5" s="165" t="s">
        <v>118</v>
      </c>
      <c r="C5" s="165" t="s">
        <v>119</v>
      </c>
      <c r="D5" s="166" t="s">
        <v>120</v>
      </c>
      <c r="E5" s="166" t="s">
        <v>121</v>
      </c>
      <c r="F5" s="166">
        <v>519</v>
      </c>
      <c r="G5" s="166">
        <v>0</v>
      </c>
      <c r="H5" s="166">
        <v>0</v>
      </c>
      <c r="I5" s="166">
        <v>0</v>
      </c>
      <c r="J5" s="166">
        <v>0</v>
      </c>
      <c r="K5" s="166">
        <v>0</v>
      </c>
      <c r="L5" s="166">
        <v>853</v>
      </c>
      <c r="M5" s="166">
        <v>1.92</v>
      </c>
      <c r="N5" s="166">
        <v>2.25</v>
      </c>
      <c r="O5" s="166">
        <v>2.98E-2</v>
      </c>
      <c r="P5" s="166"/>
      <c r="Q5" s="166"/>
      <c r="R5" s="166"/>
      <c r="S5" s="166"/>
      <c r="T5" s="166" t="s">
        <v>31</v>
      </c>
      <c r="U5" s="166">
        <v>1200</v>
      </c>
      <c r="V5" s="166">
        <v>600</v>
      </c>
      <c r="W5" s="166">
        <v>7.5</v>
      </c>
      <c r="X5" s="166">
        <v>6.1</v>
      </c>
      <c r="Y5" s="166"/>
      <c r="Z5" s="166">
        <v>156.9</v>
      </c>
      <c r="AA5" s="166">
        <v>900</v>
      </c>
      <c r="AB5" s="166"/>
      <c r="AC5" s="166"/>
      <c r="AD5" s="166">
        <v>0</v>
      </c>
      <c r="AE5" s="166">
        <v>0</v>
      </c>
      <c r="AF5" s="166"/>
      <c r="AG5" s="166"/>
      <c r="AH5" s="166"/>
    </row>
    <row r="6" spans="1:38" ht="82">
      <c r="A6" s="163" t="s">
        <v>109</v>
      </c>
      <c r="B6" s="165" t="s">
        <v>122</v>
      </c>
      <c r="C6" s="165" t="s">
        <v>119</v>
      </c>
      <c r="D6" s="166" t="s">
        <v>120</v>
      </c>
      <c r="E6" s="166" t="s">
        <v>121</v>
      </c>
      <c r="F6" s="166">
        <v>538</v>
      </c>
      <c r="G6" s="166">
        <v>0</v>
      </c>
      <c r="H6" s="166">
        <v>0</v>
      </c>
      <c r="I6" s="166">
        <v>0</v>
      </c>
      <c r="J6" s="166">
        <v>0</v>
      </c>
      <c r="K6" s="166">
        <v>0</v>
      </c>
      <c r="L6" s="166">
        <v>853</v>
      </c>
      <c r="M6" s="166">
        <v>2.37</v>
      </c>
      <c r="N6" s="166">
        <v>2.78</v>
      </c>
      <c r="O6" s="166">
        <v>3.0099999999999998E-2</v>
      </c>
      <c r="P6" s="166"/>
      <c r="Q6" s="166"/>
      <c r="R6" s="166"/>
      <c r="S6" s="166"/>
      <c r="T6" s="166" t="s">
        <v>31</v>
      </c>
      <c r="U6" s="166">
        <v>1200</v>
      </c>
      <c r="V6" s="166">
        <v>600</v>
      </c>
      <c r="W6" s="166">
        <v>7.5</v>
      </c>
      <c r="X6" s="166">
        <v>5.5</v>
      </c>
      <c r="Y6" s="166"/>
      <c r="Z6" s="166">
        <v>141.80000000000001</v>
      </c>
      <c r="AA6" s="166">
        <v>850</v>
      </c>
      <c r="AB6" s="166"/>
      <c r="AC6" s="166"/>
      <c r="AD6" s="166">
        <v>0</v>
      </c>
      <c r="AE6" s="166">
        <v>0</v>
      </c>
      <c r="AF6" s="166"/>
      <c r="AG6" s="166"/>
      <c r="AH6" s="166"/>
    </row>
    <row r="7" spans="1:38" ht="82">
      <c r="A7" s="163" t="s">
        <v>109</v>
      </c>
      <c r="B7" s="165" t="s">
        <v>123</v>
      </c>
      <c r="C7" s="165" t="s">
        <v>119</v>
      </c>
      <c r="D7" s="166" t="s">
        <v>120</v>
      </c>
      <c r="E7" s="166" t="s">
        <v>121</v>
      </c>
      <c r="F7" s="166">
        <v>601</v>
      </c>
      <c r="G7" s="166">
        <v>0</v>
      </c>
      <c r="H7" s="166">
        <v>0</v>
      </c>
      <c r="I7" s="166">
        <v>0</v>
      </c>
      <c r="J7" s="166">
        <v>0</v>
      </c>
      <c r="K7" s="166">
        <v>0</v>
      </c>
      <c r="L7" s="166">
        <v>849</v>
      </c>
      <c r="M7" s="166">
        <v>4.95</v>
      </c>
      <c r="N7" s="166">
        <v>5.83</v>
      </c>
      <c r="O7" s="166">
        <v>2.9600000000000001E-2</v>
      </c>
      <c r="P7" s="166"/>
      <c r="Q7" s="166"/>
      <c r="R7" s="166"/>
      <c r="S7" s="166"/>
      <c r="T7" s="166" t="s">
        <v>31</v>
      </c>
      <c r="U7" s="166">
        <v>1200</v>
      </c>
      <c r="V7" s="166">
        <v>600</v>
      </c>
      <c r="W7" s="166">
        <v>7.5</v>
      </c>
      <c r="X7" s="166">
        <v>5.3</v>
      </c>
      <c r="Y7" s="166"/>
      <c r="Z7" s="166">
        <v>98.9</v>
      </c>
      <c r="AA7" s="166">
        <v>800</v>
      </c>
      <c r="AB7" s="166"/>
      <c r="AC7" s="166"/>
      <c r="AD7" s="166">
        <v>0</v>
      </c>
      <c r="AE7" s="166">
        <v>0</v>
      </c>
      <c r="AF7" s="166"/>
      <c r="AG7" s="166"/>
      <c r="AH7" s="166"/>
      <c r="AJ7" s="4"/>
      <c r="AK7" s="4"/>
      <c r="AL7" s="4"/>
    </row>
    <row r="8" spans="1:38" ht="82">
      <c r="A8" s="163" t="s">
        <v>109</v>
      </c>
      <c r="B8" s="165" t="s">
        <v>124</v>
      </c>
      <c r="C8" s="165" t="s">
        <v>119</v>
      </c>
      <c r="D8" s="166" t="s">
        <v>125</v>
      </c>
      <c r="E8" s="166" t="s">
        <v>126</v>
      </c>
      <c r="F8" s="166">
        <v>372</v>
      </c>
      <c r="G8" s="166">
        <v>0</v>
      </c>
      <c r="H8" s="166">
        <v>0</v>
      </c>
      <c r="I8" s="166">
        <v>0</v>
      </c>
      <c r="J8" s="166">
        <v>0</v>
      </c>
      <c r="K8" s="166">
        <v>0</v>
      </c>
      <c r="L8" s="166">
        <v>682</v>
      </c>
      <c r="M8" s="166">
        <v>0.39</v>
      </c>
      <c r="N8" s="166">
        <v>0.56999999999999995</v>
      </c>
      <c r="O8" s="166">
        <v>1.9800000000000002E-2</v>
      </c>
      <c r="P8" s="166"/>
      <c r="Q8" s="166"/>
      <c r="R8" s="166"/>
      <c r="S8" s="166"/>
      <c r="T8" s="166" t="s">
        <v>31</v>
      </c>
      <c r="U8" s="166">
        <v>1200</v>
      </c>
      <c r="V8" s="166">
        <v>600</v>
      </c>
      <c r="W8" s="166">
        <v>7.5</v>
      </c>
      <c r="X8" s="166">
        <v>6</v>
      </c>
      <c r="Y8" s="166"/>
      <c r="Z8" s="166">
        <v>139.19999999999999</v>
      </c>
      <c r="AA8" s="166">
        <v>600</v>
      </c>
      <c r="AB8" s="166"/>
      <c r="AC8" s="166"/>
      <c r="AD8" s="166">
        <v>-0.1</v>
      </c>
      <c r="AE8" s="166">
        <v>-17.7</v>
      </c>
      <c r="AF8" s="166"/>
      <c r="AG8" s="166"/>
      <c r="AH8" s="166"/>
      <c r="AJ8" s="4"/>
      <c r="AK8" s="4"/>
      <c r="AL8" s="4"/>
    </row>
    <row r="9" spans="1:38" ht="82">
      <c r="A9" s="163" t="s">
        <v>109</v>
      </c>
      <c r="B9" s="165" t="s">
        <v>127</v>
      </c>
      <c r="C9" s="165" t="s">
        <v>119</v>
      </c>
      <c r="D9" s="166" t="s">
        <v>125</v>
      </c>
      <c r="E9" s="166" t="s">
        <v>126</v>
      </c>
      <c r="F9" s="166">
        <v>399</v>
      </c>
      <c r="G9" s="166">
        <v>0</v>
      </c>
      <c r="H9" s="166">
        <v>0</v>
      </c>
      <c r="I9" s="166">
        <v>0</v>
      </c>
      <c r="J9" s="166">
        <v>0</v>
      </c>
      <c r="K9" s="166">
        <v>0</v>
      </c>
      <c r="L9" s="166">
        <v>699</v>
      </c>
      <c r="M9" s="166">
        <v>0.51</v>
      </c>
      <c r="N9" s="166">
        <v>0.73</v>
      </c>
      <c r="O9" s="166">
        <v>2.1100000000000001E-2</v>
      </c>
      <c r="P9" s="166"/>
      <c r="Q9" s="166"/>
      <c r="R9" s="166"/>
      <c r="S9" s="166"/>
      <c r="T9" s="166" t="s">
        <v>31</v>
      </c>
      <c r="U9" s="166">
        <v>1200</v>
      </c>
      <c r="V9" s="166">
        <v>600</v>
      </c>
      <c r="W9" s="166">
        <v>7.5</v>
      </c>
      <c r="X9" s="166">
        <v>5.5</v>
      </c>
      <c r="Y9" s="166"/>
      <c r="Z9" s="166">
        <v>118.8</v>
      </c>
      <c r="AA9" s="166">
        <v>600</v>
      </c>
      <c r="AB9" s="166"/>
      <c r="AC9" s="166"/>
      <c r="AD9" s="166">
        <v>0</v>
      </c>
      <c r="AE9" s="166">
        <v>-23</v>
      </c>
      <c r="AF9" s="166"/>
      <c r="AG9" s="166"/>
      <c r="AH9" s="166"/>
      <c r="AJ9" s="4"/>
      <c r="AK9" s="4"/>
      <c r="AL9" s="4"/>
    </row>
    <row r="10" spans="1:38" ht="82">
      <c r="A10" s="163" t="s">
        <v>109</v>
      </c>
      <c r="B10" s="166" t="s">
        <v>128</v>
      </c>
      <c r="C10" s="165" t="s">
        <v>119</v>
      </c>
      <c r="D10" s="166" t="s">
        <v>125</v>
      </c>
      <c r="E10" s="166" t="s">
        <v>126</v>
      </c>
      <c r="F10" s="166">
        <v>489</v>
      </c>
      <c r="G10" s="166">
        <v>0</v>
      </c>
      <c r="H10" s="166">
        <v>0</v>
      </c>
      <c r="I10" s="166">
        <v>0</v>
      </c>
      <c r="J10" s="166">
        <v>0</v>
      </c>
      <c r="K10" s="166">
        <v>0</v>
      </c>
      <c r="L10" s="166">
        <v>745</v>
      </c>
      <c r="M10" s="166">
        <v>1.39</v>
      </c>
      <c r="N10" s="166">
        <v>1.87</v>
      </c>
      <c r="O10" s="166">
        <v>2.4899999999999999E-2</v>
      </c>
      <c r="P10" s="166"/>
      <c r="Q10" s="166"/>
      <c r="R10" s="166"/>
      <c r="S10" s="166"/>
      <c r="T10" s="166" t="s">
        <v>31</v>
      </c>
      <c r="U10" s="166">
        <v>1200</v>
      </c>
      <c r="V10" s="166">
        <v>600</v>
      </c>
      <c r="W10" s="166">
        <v>7.5</v>
      </c>
      <c r="X10" s="166">
        <v>4.5</v>
      </c>
      <c r="Y10" s="166"/>
      <c r="Z10" s="166">
        <v>57</v>
      </c>
      <c r="AA10" s="166">
        <v>550</v>
      </c>
      <c r="AB10" s="166"/>
      <c r="AC10" s="166"/>
      <c r="AD10" s="166">
        <v>-0.8</v>
      </c>
      <c r="AE10" s="166">
        <v>-41.9</v>
      </c>
      <c r="AF10" s="166"/>
      <c r="AG10" s="166"/>
      <c r="AH10" s="166"/>
      <c r="AI10" s="4"/>
      <c r="AJ10" s="4"/>
      <c r="AK10" s="4"/>
      <c r="AL10" s="4"/>
    </row>
    <row r="11" spans="1:38" ht="82">
      <c r="A11" s="163" t="s">
        <v>109</v>
      </c>
      <c r="B11" s="167" t="s">
        <v>129</v>
      </c>
      <c r="C11" s="167" t="s">
        <v>130</v>
      </c>
      <c r="D11" s="167" t="s">
        <v>131</v>
      </c>
      <c r="E11" s="166" t="s">
        <v>126</v>
      </c>
      <c r="F11" s="167" t="s">
        <v>132</v>
      </c>
      <c r="G11" s="166">
        <v>0</v>
      </c>
      <c r="H11" s="166">
        <v>0</v>
      </c>
      <c r="I11" s="166">
        <v>0</v>
      </c>
      <c r="J11" s="166">
        <v>0</v>
      </c>
      <c r="K11" s="166">
        <v>0</v>
      </c>
      <c r="L11" s="167">
        <v>692</v>
      </c>
      <c r="M11" s="167" t="s">
        <v>132</v>
      </c>
      <c r="N11" s="167" t="s">
        <v>132</v>
      </c>
      <c r="O11" s="167" t="s">
        <v>132</v>
      </c>
      <c r="P11" s="167"/>
      <c r="Q11" s="167"/>
      <c r="R11" s="167"/>
      <c r="S11" s="167"/>
      <c r="T11" s="166" t="s">
        <v>31</v>
      </c>
      <c r="U11" s="166">
        <v>1200</v>
      </c>
      <c r="V11" s="166">
        <v>600</v>
      </c>
      <c r="W11" s="166">
        <v>7.5</v>
      </c>
      <c r="X11" s="167">
        <v>6.7</v>
      </c>
      <c r="Y11" s="167"/>
      <c r="Z11" s="167">
        <v>176.4</v>
      </c>
      <c r="AA11" s="167">
        <v>700</v>
      </c>
      <c r="AB11" s="167"/>
      <c r="AC11" s="167"/>
      <c r="AD11" s="167">
        <v>0.6</v>
      </c>
      <c r="AE11" s="167">
        <v>19.5</v>
      </c>
      <c r="AF11" s="167"/>
      <c r="AG11" s="167"/>
      <c r="AH11" s="167"/>
    </row>
    <row r="12" spans="1:38" ht="82">
      <c r="A12" s="163" t="s">
        <v>109</v>
      </c>
      <c r="B12" s="167" t="s">
        <v>133</v>
      </c>
      <c r="C12" s="167" t="s">
        <v>130</v>
      </c>
      <c r="D12" s="167" t="s">
        <v>131</v>
      </c>
      <c r="E12" s="166" t="s">
        <v>126</v>
      </c>
      <c r="F12" s="167" t="s">
        <v>132</v>
      </c>
      <c r="G12" s="166">
        <v>0</v>
      </c>
      <c r="H12" s="166">
        <v>0</v>
      </c>
      <c r="I12" s="166">
        <v>0</v>
      </c>
      <c r="J12" s="166">
        <v>0</v>
      </c>
      <c r="K12" s="166">
        <v>0</v>
      </c>
      <c r="L12" s="167">
        <v>720</v>
      </c>
      <c r="M12" s="167" t="s">
        <v>132</v>
      </c>
      <c r="N12" s="167" t="s">
        <v>132</v>
      </c>
      <c r="O12" s="167" t="s">
        <v>132</v>
      </c>
      <c r="P12" s="167"/>
      <c r="Q12" s="167"/>
      <c r="R12" s="167"/>
      <c r="S12" s="167"/>
      <c r="T12" s="166" t="s">
        <v>31</v>
      </c>
      <c r="U12" s="166">
        <v>1200</v>
      </c>
      <c r="V12" s="166">
        <v>600</v>
      </c>
      <c r="W12" s="166">
        <v>7.5</v>
      </c>
      <c r="X12" s="167">
        <v>6.3</v>
      </c>
      <c r="Y12" s="167"/>
      <c r="Z12" s="167">
        <v>162.6</v>
      </c>
      <c r="AA12" s="167">
        <v>800</v>
      </c>
      <c r="AB12" s="167"/>
      <c r="AC12" s="167"/>
      <c r="AD12" s="167">
        <v>0.8</v>
      </c>
      <c r="AE12" s="167">
        <v>20.8</v>
      </c>
      <c r="AF12" s="167"/>
      <c r="AG12" s="167"/>
      <c r="AH12" s="167"/>
    </row>
    <row r="13" spans="1:38" ht="82">
      <c r="A13" s="163" t="s">
        <v>109</v>
      </c>
      <c r="B13" s="167" t="s">
        <v>134</v>
      </c>
      <c r="C13" s="167" t="s">
        <v>130</v>
      </c>
      <c r="D13" s="167" t="s">
        <v>131</v>
      </c>
      <c r="E13" s="166" t="s">
        <v>126</v>
      </c>
      <c r="F13" s="167" t="s">
        <v>132</v>
      </c>
      <c r="G13" s="166">
        <v>0</v>
      </c>
      <c r="H13" s="166">
        <v>0</v>
      </c>
      <c r="I13" s="166">
        <v>0</v>
      </c>
      <c r="J13" s="166">
        <v>0</v>
      </c>
      <c r="K13" s="166">
        <v>0</v>
      </c>
      <c r="L13" s="167">
        <v>783</v>
      </c>
      <c r="M13" s="167" t="s">
        <v>132</v>
      </c>
      <c r="N13" s="167" t="s">
        <v>132</v>
      </c>
      <c r="O13" s="167" t="s">
        <v>132</v>
      </c>
      <c r="P13" s="167"/>
      <c r="Q13" s="167"/>
      <c r="R13" s="167"/>
      <c r="S13" s="167"/>
      <c r="T13" s="166" t="s">
        <v>31</v>
      </c>
      <c r="U13" s="166">
        <v>1200</v>
      </c>
      <c r="V13" s="166">
        <v>600</v>
      </c>
      <c r="W13" s="166">
        <v>7.5</v>
      </c>
      <c r="X13" s="167">
        <v>5.2</v>
      </c>
      <c r="Y13" s="167"/>
      <c r="Z13" s="167">
        <v>93.1</v>
      </c>
      <c r="AA13" s="167">
        <v>750</v>
      </c>
      <c r="AB13" s="167"/>
      <c r="AC13" s="167"/>
      <c r="AD13" s="167">
        <v>-0.1</v>
      </c>
      <c r="AE13" s="167">
        <v>-5.8</v>
      </c>
      <c r="AF13" s="167"/>
      <c r="AG13" s="167"/>
      <c r="AH13" s="167"/>
    </row>
    <row r="14" spans="1:38" ht="105" customHeight="1">
      <c r="A14" s="164" t="s">
        <v>362</v>
      </c>
      <c r="B14" s="3" t="s">
        <v>363</v>
      </c>
      <c r="C14" s="3" t="s">
        <v>369</v>
      </c>
      <c r="D14" s="3" t="s">
        <v>370</v>
      </c>
      <c r="E14" s="3" t="s">
        <v>371</v>
      </c>
      <c r="F14" s="3">
        <v>446</v>
      </c>
      <c r="L14" s="3">
        <v>815</v>
      </c>
      <c r="M14" s="3">
        <v>0.96</v>
      </c>
      <c r="N14" s="3">
        <v>1.18</v>
      </c>
      <c r="O14" s="3">
        <v>2.5899999999999999E-2</v>
      </c>
      <c r="S14" s="3">
        <v>14.8</v>
      </c>
      <c r="T14" s="166" t="s">
        <v>31</v>
      </c>
      <c r="U14" s="166">
        <v>1200</v>
      </c>
      <c r="V14" s="166">
        <v>600</v>
      </c>
      <c r="W14" s="166">
        <v>7.5</v>
      </c>
      <c r="X14" s="3">
        <v>5.7</v>
      </c>
      <c r="Z14" s="3">
        <v>110</v>
      </c>
    </row>
    <row r="15" spans="1:38" ht="105">
      <c r="A15" s="164" t="s">
        <v>362</v>
      </c>
      <c r="B15" s="3" t="s">
        <v>364</v>
      </c>
      <c r="C15" s="3" t="s">
        <v>369</v>
      </c>
      <c r="D15" s="3" t="s">
        <v>370</v>
      </c>
      <c r="E15" s="3" t="s">
        <v>371</v>
      </c>
      <c r="F15" s="3">
        <v>467</v>
      </c>
      <c r="L15" s="3">
        <v>817</v>
      </c>
      <c r="M15" s="3">
        <v>1.17</v>
      </c>
      <c r="N15" s="3">
        <v>1.43</v>
      </c>
      <c r="O15" s="3">
        <v>2.7699999999999999E-2</v>
      </c>
      <c r="S15" s="3">
        <v>14</v>
      </c>
      <c r="T15" s="166" t="s">
        <v>31</v>
      </c>
      <c r="U15" s="166">
        <v>1200</v>
      </c>
      <c r="V15" s="166">
        <v>600</v>
      </c>
      <c r="W15" s="166">
        <v>7.5</v>
      </c>
      <c r="X15" s="3">
        <v>5.3</v>
      </c>
      <c r="Z15" s="3">
        <v>100</v>
      </c>
    </row>
    <row r="16" spans="1:38" ht="105">
      <c r="A16" s="164" t="s">
        <v>362</v>
      </c>
      <c r="B16" s="3" t="s">
        <v>365</v>
      </c>
      <c r="C16" s="3" t="s">
        <v>369</v>
      </c>
      <c r="D16" s="3" t="s">
        <v>370</v>
      </c>
      <c r="E16" s="3" t="s">
        <v>371</v>
      </c>
      <c r="F16" s="3">
        <v>463</v>
      </c>
      <c r="L16" s="3">
        <v>826</v>
      </c>
      <c r="O16" s="3">
        <v>2.6499999999999999E-2</v>
      </c>
      <c r="S16" s="3">
        <v>14</v>
      </c>
      <c r="T16" s="166" t="s">
        <v>31</v>
      </c>
      <c r="U16" s="166">
        <v>1200</v>
      </c>
      <c r="V16" s="166">
        <v>600</v>
      </c>
      <c r="W16" s="166">
        <v>7.5</v>
      </c>
      <c r="X16" s="3">
        <v>6.6</v>
      </c>
    </row>
    <row r="17" spans="1:26" ht="105">
      <c r="A17" s="164" t="s">
        <v>362</v>
      </c>
      <c r="B17" s="3" t="s">
        <v>366</v>
      </c>
      <c r="C17" s="3" t="s">
        <v>369</v>
      </c>
      <c r="D17" s="3" t="s">
        <v>370</v>
      </c>
      <c r="E17" s="3" t="s">
        <v>371</v>
      </c>
      <c r="F17" s="3">
        <v>492</v>
      </c>
      <c r="L17" s="3">
        <v>820</v>
      </c>
      <c r="M17" s="3">
        <v>1.36</v>
      </c>
      <c r="N17" s="3">
        <v>1.66</v>
      </c>
      <c r="O17" s="3">
        <v>2.7900000000000001E-2</v>
      </c>
      <c r="S17" s="3">
        <v>13.2</v>
      </c>
      <c r="T17" s="166" t="s">
        <v>31</v>
      </c>
      <c r="U17" s="166">
        <v>1200</v>
      </c>
      <c r="V17" s="166">
        <v>600</v>
      </c>
      <c r="W17" s="166">
        <v>7.5</v>
      </c>
      <c r="X17" s="3">
        <v>4.9000000000000004</v>
      </c>
      <c r="Z17" s="3">
        <v>80</v>
      </c>
    </row>
    <row r="18" spans="1:26" ht="105">
      <c r="A18" s="164" t="s">
        <v>362</v>
      </c>
      <c r="B18" s="3" t="s">
        <v>367</v>
      </c>
      <c r="C18" s="3" t="s">
        <v>369</v>
      </c>
      <c r="D18" s="3" t="s">
        <v>370</v>
      </c>
      <c r="E18" s="3" t="s">
        <v>371</v>
      </c>
      <c r="F18" s="3">
        <v>477</v>
      </c>
      <c r="L18" s="3">
        <v>825</v>
      </c>
      <c r="O18" s="3">
        <v>2.7099999999999999E-2</v>
      </c>
      <c r="S18" s="3">
        <v>13.2</v>
      </c>
      <c r="T18" s="166" t="s">
        <v>31</v>
      </c>
      <c r="U18" s="166">
        <v>1200</v>
      </c>
      <c r="V18" s="166">
        <v>600</v>
      </c>
      <c r="W18" s="166">
        <v>7.5</v>
      </c>
      <c r="X18" s="3">
        <v>4.8</v>
      </c>
    </row>
    <row r="19" spans="1:26" ht="105">
      <c r="A19" s="164" t="s">
        <v>362</v>
      </c>
      <c r="B19" s="3" t="s">
        <v>368</v>
      </c>
      <c r="C19" s="3" t="s">
        <v>369</v>
      </c>
      <c r="D19" s="3" t="s">
        <v>370</v>
      </c>
      <c r="E19" s="3" t="s">
        <v>371</v>
      </c>
      <c r="F19" s="3">
        <v>501</v>
      </c>
      <c r="L19" s="3">
        <v>822</v>
      </c>
      <c r="O19" s="3">
        <v>2.8000000000000001E-2</v>
      </c>
      <c r="S19" s="3">
        <v>12.5</v>
      </c>
      <c r="T19" s="166" t="s">
        <v>31</v>
      </c>
      <c r="U19" s="166">
        <v>1200</v>
      </c>
      <c r="V19" s="166">
        <v>600</v>
      </c>
      <c r="W19" s="166">
        <v>7.5</v>
      </c>
      <c r="X19" s="3">
        <v>4.5999999999999996</v>
      </c>
      <c r="Z19" s="3">
        <v>70</v>
      </c>
    </row>
    <row r="20" spans="1:26" ht="105">
      <c r="A20" s="164" t="s">
        <v>362</v>
      </c>
      <c r="B20" s="168" t="s">
        <v>372</v>
      </c>
      <c r="C20" s="3" t="s">
        <v>369</v>
      </c>
      <c r="D20" s="3" t="s">
        <v>388</v>
      </c>
      <c r="E20" s="3" t="s">
        <v>392</v>
      </c>
      <c r="F20" s="3">
        <v>513</v>
      </c>
      <c r="L20" s="3">
        <v>910</v>
      </c>
      <c r="O20" s="3">
        <v>2.9600000000000001E-2</v>
      </c>
      <c r="S20" s="3">
        <v>21.8</v>
      </c>
      <c r="T20" s="166" t="s">
        <v>31</v>
      </c>
      <c r="U20" s="166">
        <v>1200</v>
      </c>
      <c r="V20" s="166">
        <v>600</v>
      </c>
      <c r="W20" s="166">
        <v>7.5</v>
      </c>
      <c r="X20" s="3">
        <v>6.5</v>
      </c>
      <c r="Z20" s="3">
        <v>85</v>
      </c>
    </row>
    <row r="21" spans="1:26" ht="105">
      <c r="A21" s="164" t="s">
        <v>362</v>
      </c>
      <c r="B21" s="3" t="s">
        <v>373</v>
      </c>
      <c r="C21" s="3" t="s">
        <v>369</v>
      </c>
      <c r="D21" s="3" t="s">
        <v>388</v>
      </c>
      <c r="E21" s="3" t="s">
        <v>392</v>
      </c>
      <c r="F21" s="3">
        <v>529</v>
      </c>
      <c r="L21" s="3">
        <v>902</v>
      </c>
      <c r="M21" s="3">
        <v>8.1199999999999992</v>
      </c>
      <c r="N21" s="3">
        <v>9</v>
      </c>
      <c r="O21" s="3">
        <v>2.98E-2</v>
      </c>
      <c r="S21" s="3">
        <v>20.5</v>
      </c>
      <c r="T21" s="166" t="s">
        <v>31</v>
      </c>
      <c r="U21" s="166">
        <v>1200</v>
      </c>
      <c r="V21" s="166">
        <v>600</v>
      </c>
      <c r="W21" s="166">
        <v>7.5</v>
      </c>
      <c r="X21" s="3">
        <v>6</v>
      </c>
      <c r="Z21" s="3">
        <v>75</v>
      </c>
    </row>
    <row r="22" spans="1:26" ht="105">
      <c r="A22" s="164" t="s">
        <v>362</v>
      </c>
      <c r="B22" s="3" t="s">
        <v>374</v>
      </c>
      <c r="C22" s="3" t="s">
        <v>369</v>
      </c>
      <c r="D22" s="3" t="s">
        <v>388</v>
      </c>
      <c r="E22" s="3" t="s">
        <v>392</v>
      </c>
      <c r="F22" s="3">
        <v>543</v>
      </c>
      <c r="L22" s="3">
        <v>893</v>
      </c>
      <c r="O22" s="3">
        <v>3.32E-2</v>
      </c>
      <c r="S22" s="3">
        <v>19.3</v>
      </c>
      <c r="T22" s="166" t="s">
        <v>31</v>
      </c>
      <c r="U22" s="166">
        <v>1200</v>
      </c>
      <c r="V22" s="166">
        <v>600</v>
      </c>
      <c r="W22" s="166">
        <v>7.5</v>
      </c>
      <c r="X22" s="3">
        <v>5.5</v>
      </c>
    </row>
    <row r="23" spans="1:26" ht="105">
      <c r="A23" s="164" t="s">
        <v>362</v>
      </c>
      <c r="B23" s="3" t="s">
        <v>375</v>
      </c>
      <c r="C23" s="3" t="s">
        <v>369</v>
      </c>
      <c r="D23" s="3" t="s">
        <v>388</v>
      </c>
      <c r="E23" s="3" t="s">
        <v>392</v>
      </c>
      <c r="F23" s="3">
        <v>557</v>
      </c>
      <c r="L23" s="3">
        <v>890</v>
      </c>
      <c r="O23" s="3">
        <v>3.32E-2</v>
      </c>
      <c r="S23" s="3">
        <v>18.2</v>
      </c>
      <c r="T23" s="166" t="s">
        <v>31</v>
      </c>
      <c r="U23" s="166">
        <v>1200</v>
      </c>
      <c r="V23" s="166">
        <v>600</v>
      </c>
      <c r="W23" s="166">
        <v>7.5</v>
      </c>
      <c r="X23" s="3">
        <v>5.2</v>
      </c>
    </row>
    <row r="24" spans="1:26" ht="105">
      <c r="A24" s="164" t="s">
        <v>362</v>
      </c>
      <c r="B24" s="3" t="s">
        <v>376</v>
      </c>
      <c r="C24" s="3" t="s">
        <v>369</v>
      </c>
      <c r="D24" s="3" t="s">
        <v>388</v>
      </c>
      <c r="E24" s="3" t="s">
        <v>392</v>
      </c>
      <c r="F24" s="3">
        <v>549</v>
      </c>
      <c r="L24" s="3">
        <v>912</v>
      </c>
      <c r="O24" s="3">
        <v>3.3500000000000002E-2</v>
      </c>
      <c r="S24" s="3">
        <v>18.2</v>
      </c>
      <c r="T24" s="166" t="s">
        <v>31</v>
      </c>
      <c r="U24" s="166">
        <v>1200</v>
      </c>
      <c r="V24" s="166">
        <v>600</v>
      </c>
      <c r="W24" s="166">
        <v>7.5</v>
      </c>
      <c r="X24" s="3">
        <v>7</v>
      </c>
    </row>
    <row r="25" spans="1:26" ht="105">
      <c r="A25" s="164" t="s">
        <v>362</v>
      </c>
      <c r="B25" s="168" t="s">
        <v>377</v>
      </c>
      <c r="C25" s="3" t="s">
        <v>369</v>
      </c>
      <c r="D25" s="3" t="s">
        <v>388</v>
      </c>
      <c r="E25" s="3" t="s">
        <v>392</v>
      </c>
      <c r="F25" s="3">
        <v>572</v>
      </c>
      <c r="L25" s="3">
        <v>883</v>
      </c>
      <c r="O25" s="3">
        <v>3.3300000000000003E-2</v>
      </c>
      <c r="S25" s="3">
        <v>17.2</v>
      </c>
      <c r="T25" s="166" t="s">
        <v>31</v>
      </c>
      <c r="U25" s="166">
        <v>1200</v>
      </c>
      <c r="V25" s="166">
        <v>600</v>
      </c>
      <c r="W25" s="166">
        <v>7.5</v>
      </c>
      <c r="X25" s="3">
        <v>4.8</v>
      </c>
    </row>
    <row r="26" spans="1:26" ht="105">
      <c r="A26" s="164" t="s">
        <v>362</v>
      </c>
      <c r="B26" s="168" t="s">
        <v>378</v>
      </c>
      <c r="C26" s="3" t="s">
        <v>369</v>
      </c>
      <c r="D26" s="3" t="s">
        <v>388</v>
      </c>
      <c r="E26" s="3" t="s">
        <v>392</v>
      </c>
      <c r="F26" s="3">
        <v>624</v>
      </c>
      <c r="L26" s="3">
        <v>852</v>
      </c>
      <c r="O26" s="3">
        <v>3.3399999999999999E-2</v>
      </c>
      <c r="S26" s="3">
        <v>13.8</v>
      </c>
      <c r="T26" s="166" t="s">
        <v>31</v>
      </c>
      <c r="U26" s="166">
        <v>1200</v>
      </c>
      <c r="V26" s="166">
        <v>600</v>
      </c>
      <c r="W26" s="166">
        <v>7.5</v>
      </c>
      <c r="X26" s="3">
        <v>4.2</v>
      </c>
    </row>
    <row r="27" spans="1:26" ht="105">
      <c r="A27" s="164" t="s">
        <v>362</v>
      </c>
      <c r="B27" s="168" t="s">
        <v>379</v>
      </c>
      <c r="C27" s="3" t="s">
        <v>369</v>
      </c>
      <c r="D27" s="3" t="s">
        <v>389</v>
      </c>
      <c r="E27" s="3" t="s">
        <v>392</v>
      </c>
      <c r="F27" s="3">
        <v>467</v>
      </c>
      <c r="L27" s="3">
        <v>877</v>
      </c>
      <c r="O27" s="3">
        <v>2.7900000000000001E-2</v>
      </c>
      <c r="S27" s="3">
        <v>21.7</v>
      </c>
      <c r="T27" s="166" t="s">
        <v>31</v>
      </c>
      <c r="U27" s="166">
        <v>1200</v>
      </c>
      <c r="V27" s="166">
        <v>600</v>
      </c>
      <c r="W27" s="166">
        <v>7.5</v>
      </c>
      <c r="X27" s="3">
        <v>5.7</v>
      </c>
      <c r="Z27" s="3">
        <v>110</v>
      </c>
    </row>
    <row r="28" spans="1:26" ht="105">
      <c r="A28" s="164" t="s">
        <v>362</v>
      </c>
      <c r="B28" s="168" t="s">
        <v>380</v>
      </c>
      <c r="C28" s="3" t="s">
        <v>369</v>
      </c>
      <c r="D28" s="3" t="s">
        <v>389</v>
      </c>
      <c r="E28" s="3" t="s">
        <v>392</v>
      </c>
      <c r="F28" s="3">
        <v>488</v>
      </c>
      <c r="L28" s="3">
        <v>875</v>
      </c>
      <c r="O28" s="3">
        <v>2.8299999999999999E-2</v>
      </c>
      <c r="S28" s="3">
        <v>20</v>
      </c>
      <c r="T28" s="166" t="s">
        <v>31</v>
      </c>
      <c r="U28" s="166">
        <v>1200</v>
      </c>
      <c r="V28" s="166">
        <v>600</v>
      </c>
      <c r="W28" s="166">
        <v>7.5</v>
      </c>
      <c r="X28" s="3">
        <v>5.3</v>
      </c>
      <c r="Z28" s="3">
        <v>100</v>
      </c>
    </row>
    <row r="29" spans="1:26" ht="105">
      <c r="A29" s="164" t="s">
        <v>362</v>
      </c>
      <c r="B29" s="168" t="s">
        <v>381</v>
      </c>
      <c r="C29" s="3" t="s">
        <v>369</v>
      </c>
      <c r="D29" s="3" t="s">
        <v>389</v>
      </c>
      <c r="E29" s="3" t="s">
        <v>392</v>
      </c>
      <c r="F29" s="3">
        <v>498</v>
      </c>
      <c r="L29" s="3">
        <v>871</v>
      </c>
      <c r="O29" s="3">
        <v>2.87E-2</v>
      </c>
      <c r="S29" s="3">
        <v>18.5</v>
      </c>
      <c r="T29" s="166" t="s">
        <v>31</v>
      </c>
      <c r="U29" s="166">
        <v>1200</v>
      </c>
      <c r="V29" s="166">
        <v>600</v>
      </c>
      <c r="W29" s="166">
        <v>7.5</v>
      </c>
      <c r="X29" s="3">
        <v>4.9000000000000004</v>
      </c>
      <c r="Z29" s="3">
        <v>80</v>
      </c>
    </row>
    <row r="30" spans="1:26" ht="105">
      <c r="A30" s="164" t="s">
        <v>362</v>
      </c>
      <c r="B30" s="168" t="s">
        <v>382</v>
      </c>
      <c r="C30" s="3" t="s">
        <v>369</v>
      </c>
      <c r="D30" s="3" t="s">
        <v>389</v>
      </c>
      <c r="E30" s="3" t="s">
        <v>392</v>
      </c>
      <c r="F30" s="3">
        <v>691</v>
      </c>
      <c r="L30" s="3">
        <v>852</v>
      </c>
      <c r="O30" s="3">
        <v>3.0300000000000001E-2</v>
      </c>
      <c r="S30" s="3">
        <v>12.2</v>
      </c>
      <c r="T30" s="166" t="s">
        <v>31</v>
      </c>
      <c r="U30" s="166">
        <v>1200</v>
      </c>
      <c r="V30" s="166">
        <v>600</v>
      </c>
      <c r="W30" s="166">
        <v>7.5</v>
      </c>
      <c r="X30" s="3">
        <v>4.2</v>
      </c>
    </row>
    <row r="31" spans="1:26" ht="105">
      <c r="A31" s="164" t="s">
        <v>362</v>
      </c>
      <c r="B31" s="168" t="s">
        <v>383</v>
      </c>
      <c r="C31" s="3" t="s">
        <v>369</v>
      </c>
      <c r="D31" s="169" t="s">
        <v>57</v>
      </c>
      <c r="E31" s="168" t="s">
        <v>393</v>
      </c>
      <c r="F31" s="3">
        <v>413</v>
      </c>
      <c r="L31" s="3">
        <v>764</v>
      </c>
      <c r="M31" s="3">
        <v>0.62</v>
      </c>
      <c r="N31" s="3">
        <v>0.81</v>
      </c>
      <c r="O31" s="3">
        <v>2.24E-2</v>
      </c>
      <c r="S31" s="3">
        <v>12.3</v>
      </c>
      <c r="T31" s="166" t="s">
        <v>31</v>
      </c>
      <c r="U31" s="166">
        <v>1200</v>
      </c>
      <c r="V31" s="166">
        <v>600</v>
      </c>
      <c r="W31" s="166">
        <v>7.5</v>
      </c>
      <c r="X31" s="3">
        <v>3.3</v>
      </c>
      <c r="Z31" s="3">
        <v>140</v>
      </c>
    </row>
    <row r="32" spans="1:26" ht="105">
      <c r="A32" s="164" t="s">
        <v>362</v>
      </c>
      <c r="B32" s="168" t="s">
        <v>384</v>
      </c>
      <c r="C32" s="3" t="s">
        <v>369</v>
      </c>
      <c r="D32" s="169" t="s">
        <v>57</v>
      </c>
      <c r="E32" s="168" t="s">
        <v>393</v>
      </c>
      <c r="F32" s="3">
        <v>462</v>
      </c>
      <c r="L32" s="3">
        <v>904</v>
      </c>
      <c r="M32" s="3">
        <v>1.24</v>
      </c>
      <c r="N32" s="3">
        <v>1.37</v>
      </c>
      <c r="O32" s="3">
        <v>2.6800000000000001E-2</v>
      </c>
      <c r="S32" s="3">
        <v>31.5</v>
      </c>
      <c r="T32" s="166" t="s">
        <v>31</v>
      </c>
      <c r="U32" s="166">
        <v>1200</v>
      </c>
      <c r="V32" s="166">
        <v>600</v>
      </c>
      <c r="W32" s="166">
        <v>7.5</v>
      </c>
      <c r="X32" s="3">
        <v>2.4</v>
      </c>
    </row>
    <row r="33" spans="1:32" ht="105">
      <c r="A33" s="164" t="s">
        <v>362</v>
      </c>
      <c r="B33" s="168" t="s">
        <v>385</v>
      </c>
      <c r="C33" s="3" t="s">
        <v>369</v>
      </c>
      <c r="D33" s="169" t="s">
        <v>57</v>
      </c>
      <c r="E33" s="168" t="s">
        <v>393</v>
      </c>
      <c r="F33" s="3">
        <v>454</v>
      </c>
      <c r="L33" s="3">
        <v>834</v>
      </c>
      <c r="M33" s="3">
        <v>0.96399999999999997</v>
      </c>
      <c r="N33" s="3">
        <v>1.1599999999999999</v>
      </c>
      <c r="O33" s="3">
        <v>2.6200000000000001E-2</v>
      </c>
      <c r="S33" s="3">
        <v>18</v>
      </c>
      <c r="T33" s="166" t="s">
        <v>31</v>
      </c>
      <c r="U33" s="166">
        <v>1200</v>
      </c>
      <c r="V33" s="166">
        <v>600</v>
      </c>
      <c r="W33" s="166">
        <v>7.5</v>
      </c>
      <c r="X33" s="3">
        <v>3.8</v>
      </c>
    </row>
    <row r="34" spans="1:32" ht="105">
      <c r="A34" s="164" t="s">
        <v>362</v>
      </c>
      <c r="B34" s="168" t="s">
        <v>69</v>
      </c>
      <c r="C34" s="3" t="s">
        <v>387</v>
      </c>
      <c r="D34" s="169" t="s">
        <v>49</v>
      </c>
      <c r="E34" s="3" t="s">
        <v>394</v>
      </c>
      <c r="F34" s="3">
        <v>399</v>
      </c>
      <c r="L34" s="3">
        <v>699</v>
      </c>
      <c r="M34" s="3">
        <v>0.51</v>
      </c>
      <c r="N34" s="3">
        <v>0.73</v>
      </c>
      <c r="O34" s="3">
        <v>2.1100000000000001E-2</v>
      </c>
      <c r="S34" s="3">
        <v>0</v>
      </c>
      <c r="T34" s="166" t="s">
        <v>31</v>
      </c>
      <c r="U34" s="166">
        <v>1200</v>
      </c>
      <c r="V34" s="166">
        <v>600</v>
      </c>
      <c r="W34" s="166">
        <v>7.5</v>
      </c>
      <c r="X34" s="3">
        <v>4.5</v>
      </c>
      <c r="Z34" s="3">
        <v>75</v>
      </c>
    </row>
    <row r="35" spans="1:32" ht="105">
      <c r="A35" s="164" t="s">
        <v>362</v>
      </c>
      <c r="B35" s="3" t="s">
        <v>386</v>
      </c>
      <c r="C35" s="3" t="s">
        <v>387</v>
      </c>
      <c r="D35" s="169" t="s">
        <v>390</v>
      </c>
      <c r="E35" s="3" t="s">
        <v>394</v>
      </c>
      <c r="F35" s="3">
        <v>424</v>
      </c>
      <c r="L35" s="3">
        <v>7715</v>
      </c>
      <c r="M35" s="3">
        <v>0.67</v>
      </c>
      <c r="N35" s="3">
        <v>0.94</v>
      </c>
      <c r="O35" s="3">
        <v>2.24E-2</v>
      </c>
      <c r="S35" s="3">
        <v>0</v>
      </c>
      <c r="T35" s="166" t="s">
        <v>31</v>
      </c>
      <c r="U35" s="166">
        <v>1200</v>
      </c>
      <c r="V35" s="166">
        <v>600</v>
      </c>
      <c r="W35" s="166">
        <v>7.5</v>
      </c>
      <c r="X35" s="3">
        <v>4.2</v>
      </c>
      <c r="Z35" s="3">
        <v>65</v>
      </c>
    </row>
    <row r="36" spans="1:32" ht="105">
      <c r="A36" s="164" t="s">
        <v>362</v>
      </c>
      <c r="B36" s="168" t="s">
        <v>155</v>
      </c>
      <c r="C36" s="3" t="s">
        <v>387</v>
      </c>
      <c r="D36" s="3" t="s">
        <v>391</v>
      </c>
      <c r="E36" s="3" t="s">
        <v>394</v>
      </c>
      <c r="S36" s="3">
        <v>0</v>
      </c>
      <c r="T36" s="166" t="s">
        <v>31</v>
      </c>
      <c r="U36" s="166">
        <v>1200</v>
      </c>
      <c r="V36" s="166">
        <v>600</v>
      </c>
      <c r="W36" s="166">
        <v>7.5</v>
      </c>
      <c r="X36" s="3">
        <v>4.9000000000000004</v>
      </c>
      <c r="AA36" s="3">
        <v>921</v>
      </c>
      <c r="AF36" s="3" t="s">
        <v>395</v>
      </c>
    </row>
    <row r="37" spans="1:32" ht="17.5">
      <c r="A37" s="164"/>
    </row>
    <row r="38" spans="1:32" ht="17.5">
      <c r="A38" s="164"/>
    </row>
    <row r="39" spans="1:32" ht="17.5">
      <c r="A39" s="164"/>
    </row>
    <row r="40" spans="1:32" ht="17.5">
      <c r="A40" s="164"/>
    </row>
    <row r="41" spans="1:32" ht="17.5">
      <c r="A41" s="164"/>
    </row>
    <row r="42" spans="1:32" ht="17.5">
      <c r="A42" s="164"/>
    </row>
    <row r="43" spans="1:32" ht="17.5">
      <c r="A43" s="164"/>
    </row>
    <row r="44" spans="1:32" ht="17.5">
      <c r="A44" s="164"/>
    </row>
    <row r="45" spans="1:32" ht="17.5">
      <c r="A45" s="164"/>
    </row>
    <row r="46" spans="1:32" ht="17.5">
      <c r="A46" s="164"/>
    </row>
    <row r="47" spans="1:32" ht="17.5">
      <c r="A47" s="164"/>
    </row>
    <row r="48" spans="1:32" ht="17.5">
      <c r="A48" s="164"/>
    </row>
    <row r="49" spans="1:1" ht="17.5">
      <c r="A49" s="164"/>
    </row>
    <row r="50" spans="1:1" ht="17.5">
      <c r="A50" s="164"/>
    </row>
    <row r="51" spans="1:1" ht="17.5">
      <c r="A51" s="164"/>
    </row>
    <row r="52" spans="1:1" ht="17.5">
      <c r="A52" s="164"/>
    </row>
    <row r="53" spans="1:1" ht="17.5">
      <c r="A53" s="164"/>
    </row>
    <row r="54" spans="1:1" ht="17.5">
      <c r="A54" s="164"/>
    </row>
    <row r="55" spans="1:1" ht="17.5">
      <c r="A55" s="164"/>
    </row>
    <row r="56" spans="1:1" ht="17.5">
      <c r="A56" s="164"/>
    </row>
    <row r="57" spans="1:1" ht="17.5">
      <c r="A57" s="164"/>
    </row>
    <row r="58" spans="1:1" ht="17.5">
      <c r="A58" s="164"/>
    </row>
    <row r="59" spans="1:1" ht="17.5">
      <c r="A59" s="164"/>
    </row>
    <row r="60" spans="1:1" ht="17.5">
      <c r="A60" s="164"/>
    </row>
    <row r="61" spans="1:1" ht="17.5">
      <c r="A61" s="164"/>
    </row>
    <row r="62" spans="1:1" ht="17.5">
      <c r="A62" s="164"/>
    </row>
    <row r="63" spans="1:1" ht="17.5">
      <c r="A63" s="164"/>
    </row>
    <row r="64" spans="1:1" ht="17.5">
      <c r="A64" s="164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922A-0943-4AF6-BDB8-2E1DE20A8933}">
  <dimension ref="A1"/>
  <sheetViews>
    <sheetView workbookViewId="0"/>
  </sheetViews>
  <sheetFormatPr defaultRowHeight="14.5"/>
  <sheetData/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10B5-B702-45BE-A760-35DEA1F2405E}">
  <dimension ref="A1:AB19"/>
  <sheetViews>
    <sheetView topLeftCell="D2" zoomScale="107" zoomScaleNormal="124" workbookViewId="0">
      <selection activeCell="A18" sqref="A18:XFD18"/>
    </sheetView>
  </sheetViews>
  <sheetFormatPr defaultRowHeight="14.5"/>
  <cols>
    <col min="1" max="1" width="15.90625" customWidth="1"/>
    <col min="2" max="2" width="15.90625" style="9" customWidth="1"/>
    <col min="3" max="3" width="23.453125" style="1" customWidth="1"/>
    <col min="4" max="11" width="6.453125" customWidth="1"/>
    <col min="12" max="16" width="15.90625" customWidth="1"/>
    <col min="17" max="17" width="13.26953125" customWidth="1"/>
    <col min="18" max="18" width="13.08984375" customWidth="1"/>
    <col min="19" max="19" width="13.453125" customWidth="1"/>
    <col min="20" max="20" width="13.26953125" customWidth="1"/>
    <col min="21" max="21" width="13.7265625" customWidth="1"/>
    <col min="22" max="22" width="12.453125" customWidth="1"/>
    <col min="23" max="25" width="13.453125" customWidth="1"/>
    <col min="26" max="26" width="13" customWidth="1"/>
    <col min="27" max="27" width="13.453125" customWidth="1"/>
    <col min="28" max="28" width="12.7265625" customWidth="1"/>
    <col min="30" max="30" width="14" customWidth="1"/>
    <col min="31" max="31" width="11.90625" customWidth="1"/>
    <col min="32" max="32" width="11.453125" customWidth="1"/>
    <col min="33" max="33" width="13.90625" customWidth="1"/>
    <col min="34" max="34" width="12.08984375" customWidth="1"/>
    <col min="38" max="38" width="16.453125" customWidth="1"/>
    <col min="51" max="51" width="21.90625" customWidth="1"/>
    <col min="52" max="52" width="20.08984375" customWidth="1"/>
    <col min="16384" max="16384" width="9.08984375" bestFit="1" customWidth="1"/>
  </cols>
  <sheetData>
    <row r="1" spans="1:28">
      <c r="A1" s="14" t="s">
        <v>135</v>
      </c>
    </row>
    <row r="3" spans="1:28" s="11" customFormat="1" ht="28.9" customHeight="1">
      <c r="A3" s="226" t="s">
        <v>98</v>
      </c>
      <c r="B3" s="226" t="s">
        <v>136</v>
      </c>
      <c r="C3" s="226" t="s">
        <v>18</v>
      </c>
      <c r="D3" s="226" t="s">
        <v>137</v>
      </c>
      <c r="E3" s="226"/>
      <c r="F3" s="226"/>
      <c r="G3" s="226"/>
      <c r="H3" s="226"/>
      <c r="I3" s="226"/>
      <c r="J3" s="226"/>
      <c r="K3" s="226"/>
      <c r="L3" s="226" t="s">
        <v>138</v>
      </c>
      <c r="M3" s="226" t="s">
        <v>139</v>
      </c>
      <c r="N3" s="226" t="s">
        <v>140</v>
      </c>
      <c r="O3" s="226" t="s">
        <v>141</v>
      </c>
      <c r="P3" s="226" t="s">
        <v>142</v>
      </c>
      <c r="Q3" s="226" t="s">
        <v>21</v>
      </c>
      <c r="R3" s="226"/>
      <c r="S3" s="226" t="s">
        <v>143</v>
      </c>
      <c r="T3" s="226"/>
      <c r="U3" s="226" t="s">
        <v>23</v>
      </c>
      <c r="V3" s="226"/>
      <c r="W3" s="226" t="s">
        <v>24</v>
      </c>
      <c r="X3" s="226"/>
      <c r="Y3" s="226" t="s">
        <v>25</v>
      </c>
      <c r="Z3" s="226"/>
      <c r="AA3" s="226" t="s">
        <v>144</v>
      </c>
      <c r="AB3" s="226"/>
    </row>
    <row r="4" spans="1:28" s="102" customFormat="1" ht="29">
      <c r="A4" s="226"/>
      <c r="B4" s="226"/>
      <c r="C4" s="226"/>
      <c r="D4" s="5" t="s">
        <v>145</v>
      </c>
      <c r="E4" s="5" t="s">
        <v>146</v>
      </c>
      <c r="F4" s="5" t="s">
        <v>147</v>
      </c>
      <c r="G4" s="5" t="s">
        <v>148</v>
      </c>
      <c r="H4" s="5" t="s">
        <v>149</v>
      </c>
      <c r="I4" s="5" t="s">
        <v>150</v>
      </c>
      <c r="J4" s="5" t="s">
        <v>151</v>
      </c>
      <c r="K4" s="5" t="s">
        <v>152</v>
      </c>
      <c r="L4" s="226"/>
      <c r="M4" s="226"/>
      <c r="N4" s="226"/>
      <c r="O4" s="226"/>
      <c r="P4" s="226"/>
      <c r="Q4" s="5" t="s">
        <v>153</v>
      </c>
      <c r="R4" s="5" t="s">
        <v>154</v>
      </c>
      <c r="S4" s="5" t="s">
        <v>153</v>
      </c>
      <c r="T4" s="5" t="s">
        <v>154</v>
      </c>
      <c r="U4" s="5" t="s">
        <v>153</v>
      </c>
      <c r="V4" s="5" t="s">
        <v>154</v>
      </c>
      <c r="W4" s="5" t="s">
        <v>153</v>
      </c>
      <c r="X4" s="5" t="s">
        <v>154</v>
      </c>
      <c r="Y4" s="5" t="s">
        <v>153</v>
      </c>
      <c r="Z4" s="5" t="s">
        <v>154</v>
      </c>
      <c r="AA4" s="5" t="s">
        <v>153</v>
      </c>
      <c r="AB4" s="5" t="s">
        <v>154</v>
      </c>
    </row>
    <row r="5" spans="1:28" ht="45.75" customHeight="1">
      <c r="A5" s="103" t="s">
        <v>155</v>
      </c>
      <c r="B5" s="6" t="s">
        <v>156</v>
      </c>
      <c r="C5" s="96" t="s">
        <v>157</v>
      </c>
      <c r="D5" s="103"/>
      <c r="E5" s="103"/>
      <c r="F5" s="103"/>
      <c r="G5" s="103"/>
      <c r="H5" s="103"/>
      <c r="I5" s="103"/>
      <c r="J5" s="103"/>
      <c r="K5" s="103"/>
      <c r="L5" s="103">
        <v>0.83499999999999996</v>
      </c>
      <c r="M5" s="103">
        <v>2.8919999999999999</v>
      </c>
      <c r="N5" s="103">
        <v>45.68</v>
      </c>
      <c r="O5" s="103"/>
      <c r="P5" s="103"/>
      <c r="Q5" s="103">
        <v>4.9000000000000004</v>
      </c>
      <c r="R5" s="103">
        <v>4.9000000000000004</v>
      </c>
      <c r="S5" s="103">
        <v>132</v>
      </c>
      <c r="T5" s="103">
        <v>131</v>
      </c>
      <c r="U5" s="103">
        <v>677</v>
      </c>
      <c r="V5" s="103">
        <v>665</v>
      </c>
      <c r="W5" s="103">
        <v>433</v>
      </c>
      <c r="X5" s="103">
        <v>436</v>
      </c>
      <c r="Y5" s="103">
        <v>192</v>
      </c>
      <c r="Z5" s="103">
        <v>203</v>
      </c>
      <c r="AA5" s="103">
        <v>0.37</v>
      </c>
      <c r="AB5" s="103">
        <v>0.41</v>
      </c>
    </row>
    <row r="6" spans="1:28" ht="45.75" customHeight="1">
      <c r="A6" s="103" t="s">
        <v>158</v>
      </c>
      <c r="B6" s="6" t="s">
        <v>159</v>
      </c>
      <c r="C6" s="96" t="s">
        <v>157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>
        <v>5.2</v>
      </c>
      <c r="R6" s="103">
        <v>5</v>
      </c>
      <c r="S6" s="103">
        <v>44</v>
      </c>
      <c r="T6" s="103">
        <v>55</v>
      </c>
      <c r="U6" s="103">
        <v>301</v>
      </c>
      <c r="V6" s="103">
        <v>384</v>
      </c>
      <c r="W6" s="103">
        <v>742</v>
      </c>
      <c r="X6" s="103">
        <v>648</v>
      </c>
      <c r="Y6" s="103">
        <v>427</v>
      </c>
      <c r="Z6" s="103">
        <v>420</v>
      </c>
      <c r="AA6" s="103">
        <v>0.79</v>
      </c>
      <c r="AB6" s="103">
        <v>0.68</v>
      </c>
    </row>
    <row r="7" spans="1:28">
      <c r="A7" s="103" t="s">
        <v>160</v>
      </c>
      <c r="B7" s="6" t="s">
        <v>159</v>
      </c>
      <c r="C7" s="103"/>
      <c r="D7" s="103">
        <v>34.19</v>
      </c>
      <c r="E7" s="103">
        <v>7.92</v>
      </c>
      <c r="F7" s="103">
        <v>9.2899999999999991</v>
      </c>
      <c r="G7" s="103">
        <v>43.6</v>
      </c>
      <c r="H7" s="103">
        <v>2.81</v>
      </c>
      <c r="I7" s="103">
        <v>1.1299999999999999</v>
      </c>
      <c r="J7" s="103"/>
      <c r="K7" s="103">
        <v>1.06</v>
      </c>
      <c r="L7" s="103">
        <v>0.89300000000000002</v>
      </c>
      <c r="M7" s="103">
        <v>6.26</v>
      </c>
      <c r="N7" s="103" t="s">
        <v>161</v>
      </c>
      <c r="O7" s="103" t="s">
        <v>162</v>
      </c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28">
      <c r="A8" s="103" t="s">
        <v>163</v>
      </c>
      <c r="B8" s="6" t="s">
        <v>159</v>
      </c>
      <c r="C8" s="103"/>
      <c r="D8" s="103"/>
      <c r="E8" s="103"/>
      <c r="F8" s="103"/>
      <c r="G8" s="103"/>
      <c r="H8" s="103"/>
      <c r="I8" s="103"/>
      <c r="J8" s="103"/>
      <c r="K8" s="103"/>
      <c r="L8" s="103">
        <v>0.85</v>
      </c>
      <c r="M8" s="103">
        <v>2.4</v>
      </c>
      <c r="N8" s="103">
        <v>44.8</v>
      </c>
      <c r="O8" s="103">
        <v>0.17</v>
      </c>
      <c r="P8" s="103">
        <v>13.2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ht="45.75" customHeight="1">
      <c r="A9" s="103" t="s">
        <v>164</v>
      </c>
      <c r="B9" s="6" t="s">
        <v>159</v>
      </c>
      <c r="C9" s="96" t="s">
        <v>157</v>
      </c>
      <c r="D9" s="103"/>
      <c r="E9" s="103"/>
      <c r="F9" s="103"/>
      <c r="G9" s="103"/>
      <c r="H9" s="103"/>
      <c r="I9" s="103"/>
      <c r="J9" s="103"/>
      <c r="K9" s="103"/>
      <c r="L9" s="40"/>
      <c r="M9" s="103"/>
      <c r="N9" s="103"/>
      <c r="O9" s="103"/>
      <c r="P9" s="103"/>
      <c r="Q9" s="103">
        <v>5</v>
      </c>
      <c r="R9" s="103">
        <v>5</v>
      </c>
      <c r="S9" s="103">
        <v>107</v>
      </c>
      <c r="T9" s="103">
        <v>107</v>
      </c>
      <c r="U9" s="103">
        <v>572</v>
      </c>
      <c r="V9" s="103">
        <v>591</v>
      </c>
      <c r="W9" s="103">
        <v>417</v>
      </c>
      <c r="X9" s="103">
        <v>412</v>
      </c>
      <c r="Y9" s="103">
        <v>189</v>
      </c>
      <c r="Z9" s="103">
        <v>198</v>
      </c>
      <c r="AA9" s="103">
        <v>0.41</v>
      </c>
      <c r="AB9" s="103">
        <v>0.46</v>
      </c>
    </row>
    <row r="10" spans="1:28" ht="45.75" customHeight="1">
      <c r="A10" s="103" t="s">
        <v>165</v>
      </c>
      <c r="B10" s="6" t="s">
        <v>159</v>
      </c>
      <c r="C10" s="96" t="s">
        <v>157</v>
      </c>
      <c r="D10" s="103"/>
      <c r="E10" s="103"/>
      <c r="F10" s="103"/>
      <c r="G10" s="103"/>
      <c r="H10" s="103"/>
      <c r="I10" s="103"/>
      <c r="J10" s="103"/>
      <c r="K10" s="103"/>
      <c r="L10" s="103">
        <v>0.85599999999999998</v>
      </c>
      <c r="M10" s="103">
        <v>2.75</v>
      </c>
      <c r="N10" s="103">
        <v>43.9</v>
      </c>
      <c r="O10" s="103">
        <v>0.16</v>
      </c>
      <c r="P10" s="103">
        <v>5.2</v>
      </c>
      <c r="Q10" s="103">
        <v>4.4000000000000004</v>
      </c>
      <c r="R10" s="103">
        <v>4.4000000000000004</v>
      </c>
      <c r="S10" s="103">
        <v>110</v>
      </c>
      <c r="T10" s="103">
        <v>108</v>
      </c>
      <c r="U10" s="103">
        <v>670</v>
      </c>
      <c r="V10" s="103">
        <v>632</v>
      </c>
      <c r="W10" s="103">
        <v>401</v>
      </c>
      <c r="X10" s="103">
        <v>403</v>
      </c>
      <c r="Y10" s="103">
        <v>236</v>
      </c>
      <c r="Z10" s="103">
        <v>245</v>
      </c>
      <c r="AA10" s="103">
        <v>0.36</v>
      </c>
      <c r="AB10" s="103">
        <v>0.38</v>
      </c>
    </row>
    <row r="11" spans="1:28" ht="45.75" customHeight="1">
      <c r="A11" s="103" t="s">
        <v>166</v>
      </c>
      <c r="B11" s="6" t="s">
        <v>159</v>
      </c>
      <c r="C11" s="96" t="s">
        <v>157</v>
      </c>
      <c r="D11" s="103"/>
      <c r="E11" s="103"/>
      <c r="F11" s="103"/>
      <c r="G11" s="103"/>
      <c r="H11" s="103"/>
      <c r="I11" s="103"/>
      <c r="J11" s="103"/>
      <c r="K11" s="103"/>
      <c r="L11" s="103">
        <v>0.89200000000000002</v>
      </c>
      <c r="M11" s="103">
        <v>5.19</v>
      </c>
      <c r="N11" s="103">
        <v>39.6</v>
      </c>
      <c r="O11" s="103">
        <v>0.11</v>
      </c>
      <c r="P11" s="103">
        <v>0.2</v>
      </c>
      <c r="Q11" s="103">
        <v>4.2</v>
      </c>
      <c r="R11" s="103">
        <v>4.2</v>
      </c>
      <c r="S11" s="103">
        <v>72</v>
      </c>
      <c r="T11" s="103">
        <v>68</v>
      </c>
      <c r="U11" s="103">
        <v>570</v>
      </c>
      <c r="V11" s="103">
        <v>508</v>
      </c>
      <c r="W11" s="103">
        <v>434</v>
      </c>
      <c r="X11" s="103">
        <v>505</v>
      </c>
      <c r="Y11" s="103">
        <v>210</v>
      </c>
      <c r="Z11" s="103">
        <v>346</v>
      </c>
      <c r="AA11" s="103">
        <v>0.48</v>
      </c>
      <c r="AB11" s="103">
        <v>0.67</v>
      </c>
    </row>
    <row r="12" spans="1:28" ht="29">
      <c r="A12" s="103" t="s">
        <v>167</v>
      </c>
      <c r="B12" s="6" t="s">
        <v>159</v>
      </c>
      <c r="C12" s="103"/>
      <c r="D12" s="103">
        <v>4.8</v>
      </c>
      <c r="E12" s="103">
        <v>1.78</v>
      </c>
      <c r="F12" s="103">
        <v>61.24</v>
      </c>
      <c r="G12" s="103">
        <v>21.52</v>
      </c>
      <c r="H12" s="103"/>
      <c r="I12" s="103">
        <v>7.82</v>
      </c>
      <c r="J12" s="103">
        <v>1.25</v>
      </c>
      <c r="K12" s="103">
        <v>1.59</v>
      </c>
      <c r="L12" s="103">
        <v>0.88300000000000001</v>
      </c>
      <c r="M12" s="103">
        <v>4.3250000000000002</v>
      </c>
      <c r="N12" s="103" t="s">
        <v>168</v>
      </c>
      <c r="O12" s="103" t="s">
        <v>169</v>
      </c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 ht="45.75" customHeight="1">
      <c r="A13" s="103" t="s">
        <v>170</v>
      </c>
      <c r="B13" s="6" t="s">
        <v>159</v>
      </c>
      <c r="C13" s="96" t="s">
        <v>157</v>
      </c>
      <c r="D13" s="103"/>
      <c r="E13" s="103"/>
      <c r="F13" s="103"/>
      <c r="G13" s="103"/>
      <c r="H13" s="103"/>
      <c r="I13" s="103"/>
      <c r="J13" s="103"/>
      <c r="K13" s="103"/>
      <c r="L13" s="40"/>
      <c r="M13" s="103"/>
      <c r="N13" s="103"/>
      <c r="O13" s="103"/>
      <c r="P13" s="103"/>
      <c r="Q13" s="103">
        <v>4.4000000000000004</v>
      </c>
      <c r="R13" s="103">
        <v>4.5</v>
      </c>
      <c r="S13" s="103">
        <v>106</v>
      </c>
      <c r="T13" s="103">
        <v>105</v>
      </c>
      <c r="U13" s="103">
        <v>585</v>
      </c>
      <c r="V13" s="103">
        <v>584</v>
      </c>
      <c r="W13" s="103">
        <v>368</v>
      </c>
      <c r="X13" s="103">
        <v>381</v>
      </c>
      <c r="Y13" s="103">
        <v>217</v>
      </c>
      <c r="Z13" s="103">
        <v>215</v>
      </c>
      <c r="AA13" s="103">
        <v>0.43</v>
      </c>
      <c r="AB13" s="103">
        <v>0.45</v>
      </c>
    </row>
    <row r="14" spans="1:28" ht="45.75" customHeight="1">
      <c r="A14" s="103" t="s">
        <v>171</v>
      </c>
      <c r="B14" s="6" t="s">
        <v>159</v>
      </c>
      <c r="C14" s="96" t="s">
        <v>157</v>
      </c>
      <c r="D14" s="103"/>
      <c r="E14" s="103"/>
      <c r="F14" s="103"/>
      <c r="G14" s="103"/>
      <c r="H14" s="103"/>
      <c r="I14" s="103"/>
      <c r="J14" s="103"/>
      <c r="K14" s="103"/>
      <c r="L14" s="40"/>
      <c r="M14" s="103"/>
      <c r="N14" s="103"/>
      <c r="O14" s="103"/>
      <c r="P14" s="103"/>
      <c r="Q14" s="103">
        <v>4.2</v>
      </c>
      <c r="R14" s="103">
        <v>4.3</v>
      </c>
      <c r="S14" s="103">
        <v>91</v>
      </c>
      <c r="T14" s="103">
        <v>93</v>
      </c>
      <c r="U14" s="103">
        <v>592</v>
      </c>
      <c r="V14" s="103">
        <v>555</v>
      </c>
      <c r="W14" s="103">
        <v>409</v>
      </c>
      <c r="X14" s="103">
        <v>404</v>
      </c>
      <c r="Y14" s="103">
        <v>194</v>
      </c>
      <c r="Z14" s="103">
        <v>197</v>
      </c>
      <c r="AA14" s="103">
        <v>0.42</v>
      </c>
      <c r="AB14" s="103">
        <v>0.47</v>
      </c>
    </row>
    <row r="15" spans="1:28" ht="45.75" customHeight="1">
      <c r="A15" s="103" t="s">
        <v>172</v>
      </c>
      <c r="B15" s="6" t="s">
        <v>159</v>
      </c>
      <c r="C15" s="96" t="s">
        <v>157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>
        <v>3.6</v>
      </c>
      <c r="R15" s="103">
        <v>3.6</v>
      </c>
      <c r="S15" s="103">
        <v>63</v>
      </c>
      <c r="T15" s="103">
        <v>65</v>
      </c>
      <c r="U15" s="103">
        <v>682</v>
      </c>
      <c r="V15" s="103">
        <v>573</v>
      </c>
      <c r="W15" s="103">
        <v>330</v>
      </c>
      <c r="X15" s="103">
        <v>347</v>
      </c>
      <c r="Y15" s="103">
        <v>189</v>
      </c>
      <c r="Z15" s="103">
        <v>211</v>
      </c>
      <c r="AA15" s="103">
        <v>0.22</v>
      </c>
      <c r="AB15" s="103">
        <v>0.3</v>
      </c>
    </row>
    <row r="16" spans="1:28">
      <c r="A16" s="103" t="s">
        <v>173</v>
      </c>
      <c r="B16" s="6" t="s">
        <v>159</v>
      </c>
      <c r="C16" s="103"/>
      <c r="D16" s="103">
        <v>10.32</v>
      </c>
      <c r="E16" s="103">
        <v>4.3600000000000003</v>
      </c>
      <c r="F16" s="103">
        <v>26.8</v>
      </c>
      <c r="G16" s="103">
        <v>50.69</v>
      </c>
      <c r="H16" s="103"/>
      <c r="I16" s="103">
        <v>6.75</v>
      </c>
      <c r="J16" s="103"/>
      <c r="K16" s="103">
        <v>1.08</v>
      </c>
      <c r="L16" s="103">
        <v>0.88500000000000001</v>
      </c>
      <c r="M16" s="103">
        <v>4.0750000000000002</v>
      </c>
      <c r="N16" s="103" t="s">
        <v>174</v>
      </c>
      <c r="O16" s="103" t="s">
        <v>175</v>
      </c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ht="45.75" customHeight="1">
      <c r="A17" s="103" t="s">
        <v>176</v>
      </c>
      <c r="B17" s="6" t="s">
        <v>159</v>
      </c>
      <c r="C17" s="96" t="s">
        <v>157</v>
      </c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>
        <v>4.5999999999999996</v>
      </c>
      <c r="R17" s="103">
        <v>4.5999999999999996</v>
      </c>
      <c r="S17" s="103">
        <v>114</v>
      </c>
      <c r="T17" s="103">
        <v>115</v>
      </c>
      <c r="U17" s="103">
        <v>601</v>
      </c>
      <c r="V17" s="103">
        <v>605</v>
      </c>
      <c r="W17" s="103">
        <v>398</v>
      </c>
      <c r="X17" s="103">
        <v>412</v>
      </c>
      <c r="Y17" s="103">
        <v>172</v>
      </c>
      <c r="Z17" s="103">
        <v>198</v>
      </c>
      <c r="AA17" s="103">
        <v>0.37</v>
      </c>
      <c r="AB17" s="103">
        <v>0.41</v>
      </c>
    </row>
    <row r="18" spans="1:28" ht="45.75" customHeight="1">
      <c r="A18" s="103" t="s">
        <v>177</v>
      </c>
      <c r="B18" s="6" t="s">
        <v>159</v>
      </c>
      <c r="C18" s="96" t="s">
        <v>157</v>
      </c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>
        <v>4.4000000000000004</v>
      </c>
      <c r="R18" s="103">
        <v>4.5</v>
      </c>
      <c r="S18" s="103">
        <v>110</v>
      </c>
      <c r="T18" s="103">
        <v>113</v>
      </c>
      <c r="U18" s="103">
        <v>647</v>
      </c>
      <c r="V18" s="103">
        <v>606</v>
      </c>
      <c r="W18" s="103">
        <v>402</v>
      </c>
      <c r="X18" s="103">
        <v>417</v>
      </c>
      <c r="Y18" s="103">
        <v>194</v>
      </c>
      <c r="Z18" s="103">
        <v>202</v>
      </c>
      <c r="AA18" s="103">
        <v>0.35</v>
      </c>
      <c r="AB18" s="103">
        <v>0.37</v>
      </c>
    </row>
    <row r="19" spans="1:28" ht="45.75" customHeight="1">
      <c r="A19" s="103" t="s">
        <v>178</v>
      </c>
      <c r="B19" s="6" t="s">
        <v>159</v>
      </c>
      <c r="C19" s="96" t="s">
        <v>157</v>
      </c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>
        <v>4.2</v>
      </c>
      <c r="R19" s="103">
        <v>4</v>
      </c>
      <c r="S19" s="103">
        <v>85</v>
      </c>
      <c r="T19" s="103">
        <v>84</v>
      </c>
      <c r="U19" s="103">
        <v>735</v>
      </c>
      <c r="V19" s="103">
        <v>693</v>
      </c>
      <c r="W19" s="103">
        <v>349</v>
      </c>
      <c r="X19" s="103">
        <v>355</v>
      </c>
      <c r="Y19" s="103">
        <v>255</v>
      </c>
      <c r="Z19" s="103">
        <v>246</v>
      </c>
      <c r="AA19" s="103">
        <v>0.32</v>
      </c>
      <c r="AB19" s="103">
        <v>0.36</v>
      </c>
    </row>
  </sheetData>
  <mergeCells count="15">
    <mergeCell ref="AA3:AB3"/>
    <mergeCell ref="B3:B4"/>
    <mergeCell ref="C3:C4"/>
    <mergeCell ref="L3:L4"/>
    <mergeCell ref="M3:M4"/>
    <mergeCell ref="N3:N4"/>
    <mergeCell ref="O3:O4"/>
    <mergeCell ref="P3:P4"/>
    <mergeCell ref="D3:K3"/>
    <mergeCell ref="Q3:R3"/>
    <mergeCell ref="A3:A4"/>
    <mergeCell ref="S3:T3"/>
    <mergeCell ref="U3:V3"/>
    <mergeCell ref="W3:X3"/>
    <mergeCell ref="Y3:Z3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F88E-F27C-4770-8640-B66603B84744}">
  <dimension ref="A1:AE101"/>
  <sheetViews>
    <sheetView topLeftCell="A3" zoomScale="61" workbookViewId="0">
      <selection activeCell="F7" sqref="F7"/>
    </sheetView>
  </sheetViews>
  <sheetFormatPr defaultRowHeight="14.5"/>
  <cols>
    <col min="1" max="1" width="18.7265625" customWidth="1"/>
    <col min="2" max="2" width="13.08984375" customWidth="1"/>
    <col min="3" max="3" width="12.453125" customWidth="1"/>
    <col min="4" max="4" width="13.26953125" customWidth="1"/>
    <col min="5" max="5" width="12.453125" customWidth="1"/>
    <col min="6" max="6" width="14.453125" customWidth="1"/>
    <col min="7" max="8" width="12.453125" customWidth="1"/>
    <col min="9" max="9" width="13.7265625" customWidth="1"/>
    <col min="10" max="10" width="12.453125" customWidth="1"/>
    <col min="11" max="11" width="13.90625" customWidth="1"/>
    <col min="12" max="12" width="13.90625" style="9" customWidth="1"/>
    <col min="13" max="13" width="14.08984375" customWidth="1"/>
    <col min="14" max="14" width="13.08984375" customWidth="1"/>
    <col min="15" max="15" width="14.453125" customWidth="1"/>
    <col min="16" max="16" width="12.90625" customWidth="1"/>
    <col min="17" max="17" width="13.453125" customWidth="1"/>
    <col min="18" max="18" width="12.453125" customWidth="1"/>
    <col min="19" max="19" width="13.08984375" customWidth="1"/>
    <col min="20" max="20" width="13.453125" customWidth="1"/>
    <col min="21" max="21" width="13" customWidth="1"/>
    <col min="22" max="22" width="14.08984375" customWidth="1"/>
    <col min="23" max="23" width="14" customWidth="1"/>
    <col min="24" max="24" width="13.453125" customWidth="1"/>
    <col min="25" max="26" width="12.7265625" customWidth="1"/>
    <col min="27" max="27" width="12.90625" customWidth="1"/>
    <col min="28" max="28" width="12.08984375" customWidth="1"/>
    <col min="29" max="29" width="13.453125" customWidth="1"/>
    <col min="30" max="30" width="13" customWidth="1"/>
    <col min="31" max="31" width="12.453125" customWidth="1"/>
  </cols>
  <sheetData>
    <row r="1" spans="1:31">
      <c r="A1" s="14" t="s">
        <v>179</v>
      </c>
    </row>
    <row r="3" spans="1:31">
      <c r="A3" s="14" t="s">
        <v>180</v>
      </c>
      <c r="J3" t="s">
        <v>181</v>
      </c>
      <c r="P3" t="s">
        <v>182</v>
      </c>
    </row>
    <row r="4" spans="1:31">
      <c r="A4" s="14"/>
    </row>
    <row r="5" spans="1:31" s="4" customFormat="1" ht="48.75" customHeight="1">
      <c r="A5" s="227" t="s">
        <v>183</v>
      </c>
      <c r="B5" s="228" t="s">
        <v>184</v>
      </c>
      <c r="C5" s="228" t="s">
        <v>185</v>
      </c>
      <c r="D5" s="228" t="s">
        <v>186</v>
      </c>
      <c r="E5" s="228" t="s">
        <v>136</v>
      </c>
      <c r="F5" s="228" t="s">
        <v>187</v>
      </c>
      <c r="G5" s="228" t="s">
        <v>188</v>
      </c>
      <c r="H5" s="228" t="s">
        <v>451</v>
      </c>
      <c r="I5" s="228" t="s">
        <v>189</v>
      </c>
      <c r="J5" s="228" t="s">
        <v>450</v>
      </c>
      <c r="K5" s="228" t="s">
        <v>190</v>
      </c>
      <c r="L5" s="228" t="s">
        <v>18</v>
      </c>
      <c r="M5" s="227" t="s">
        <v>191</v>
      </c>
      <c r="N5" s="229"/>
      <c r="O5" s="230"/>
      <c r="P5" s="227" t="s">
        <v>192</v>
      </c>
      <c r="Q5" s="229"/>
      <c r="R5" s="230"/>
      <c r="S5" s="226" t="s">
        <v>143</v>
      </c>
      <c r="T5" s="226"/>
      <c r="U5" s="226" t="s">
        <v>193</v>
      </c>
      <c r="V5" s="226"/>
      <c r="W5" s="226" t="s">
        <v>194</v>
      </c>
      <c r="X5" s="226"/>
      <c r="Y5" s="226" t="s">
        <v>23</v>
      </c>
      <c r="Z5" s="226"/>
      <c r="AA5" s="226" t="s">
        <v>195</v>
      </c>
      <c r="AB5" s="226"/>
      <c r="AC5" s="232" t="s">
        <v>196</v>
      </c>
      <c r="AD5" s="232"/>
      <c r="AE5" s="228" t="s">
        <v>26</v>
      </c>
    </row>
    <row r="6" spans="1:31" s="8" customFormat="1" ht="43.5">
      <c r="A6" s="227"/>
      <c r="B6" s="228"/>
      <c r="C6" s="228"/>
      <c r="D6" s="228"/>
      <c r="E6" s="228"/>
      <c r="F6" s="228"/>
      <c r="G6" s="228"/>
      <c r="H6" s="231"/>
      <c r="I6" s="228"/>
      <c r="J6" s="228"/>
      <c r="K6" s="228"/>
      <c r="L6" s="231"/>
      <c r="M6" s="13" t="s">
        <v>197</v>
      </c>
      <c r="N6" s="5" t="s">
        <v>198</v>
      </c>
      <c r="O6" s="5" t="s">
        <v>199</v>
      </c>
      <c r="P6" s="5" t="s">
        <v>197</v>
      </c>
      <c r="Q6" s="5" t="s">
        <v>200</v>
      </c>
      <c r="R6" s="5" t="s">
        <v>199</v>
      </c>
      <c r="S6" s="29" t="s">
        <v>153</v>
      </c>
      <c r="T6" s="29" t="s">
        <v>154</v>
      </c>
      <c r="U6" s="29" t="s">
        <v>153</v>
      </c>
      <c r="V6" s="29" t="s">
        <v>154</v>
      </c>
      <c r="W6" s="29" t="s">
        <v>153</v>
      </c>
      <c r="X6" s="29" t="s">
        <v>154</v>
      </c>
      <c r="Y6" s="29" t="s">
        <v>153</v>
      </c>
      <c r="Z6" s="29" t="s">
        <v>154</v>
      </c>
      <c r="AA6" s="29" t="s">
        <v>153</v>
      </c>
      <c r="AB6" s="29" t="s">
        <v>154</v>
      </c>
      <c r="AC6" s="29" t="s">
        <v>153</v>
      </c>
      <c r="AD6" s="29" t="s">
        <v>154</v>
      </c>
      <c r="AE6" s="231"/>
    </row>
    <row r="7" spans="1:31" ht="64.5" customHeight="1">
      <c r="A7" s="39" t="s">
        <v>201</v>
      </c>
      <c r="B7" s="40"/>
      <c r="C7" s="40"/>
      <c r="D7" s="39"/>
      <c r="E7" s="40"/>
      <c r="F7" s="40">
        <v>542</v>
      </c>
      <c r="G7" s="40"/>
      <c r="H7" s="40">
        <f>I7*1000</f>
        <v>834.5</v>
      </c>
      <c r="I7" s="39">
        <v>0.83450000000000002</v>
      </c>
      <c r="J7" s="39">
        <v>2.6720000000000002</v>
      </c>
      <c r="K7" s="40">
        <v>51.7</v>
      </c>
      <c r="L7" s="6" t="s">
        <v>202</v>
      </c>
      <c r="M7" s="40">
        <v>7.4</v>
      </c>
      <c r="N7" s="40">
        <v>0.26600000000000001</v>
      </c>
      <c r="O7" s="40"/>
      <c r="P7" s="40">
        <v>7.3</v>
      </c>
      <c r="Q7" s="40">
        <v>0.29699999999999999</v>
      </c>
      <c r="R7" s="94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96" t="s">
        <v>203</v>
      </c>
    </row>
    <row r="8" spans="1:31" ht="67.5" customHeight="1">
      <c r="A8" s="39" t="s">
        <v>204</v>
      </c>
      <c r="B8" s="39" t="s">
        <v>205</v>
      </c>
      <c r="C8" s="40">
        <v>7</v>
      </c>
      <c r="D8" s="39">
        <v>99</v>
      </c>
      <c r="E8" s="39" t="s">
        <v>206</v>
      </c>
      <c r="F8" s="39">
        <v>371.5</v>
      </c>
      <c r="G8" s="39">
        <v>36.659999999999997</v>
      </c>
      <c r="H8" s="40">
        <f t="shared" ref="H8:H25" si="0">I8*1000</f>
        <v>683.8</v>
      </c>
      <c r="I8" s="39">
        <f xml:space="preserve"> 0.6838</f>
        <v>0.68379999999999996</v>
      </c>
      <c r="J8" s="39"/>
      <c r="K8" s="39">
        <v>54.4</v>
      </c>
      <c r="L8" s="6" t="s">
        <v>202</v>
      </c>
      <c r="M8" s="40">
        <v>7.4</v>
      </c>
      <c r="N8" s="40">
        <v>0.115</v>
      </c>
      <c r="O8" s="40">
        <v>7.2</v>
      </c>
      <c r="P8" s="40">
        <v>7.5</v>
      </c>
      <c r="Q8" s="40">
        <v>0.23100000000000001</v>
      </c>
      <c r="R8" s="40">
        <v>7.2</v>
      </c>
      <c r="S8" s="95">
        <v>94</v>
      </c>
      <c r="T8" s="95">
        <v>98</v>
      </c>
      <c r="U8" s="95">
        <v>46</v>
      </c>
      <c r="V8" s="95">
        <v>54</v>
      </c>
      <c r="W8" s="95">
        <v>1377</v>
      </c>
      <c r="X8" s="95">
        <v>1342</v>
      </c>
      <c r="Y8" s="95">
        <v>577</v>
      </c>
      <c r="Z8" s="95">
        <v>465</v>
      </c>
      <c r="AA8" s="95">
        <v>0.28999999999999998</v>
      </c>
      <c r="AB8" s="95">
        <v>0.05</v>
      </c>
      <c r="AC8" s="95">
        <v>0.56999999999999995</v>
      </c>
      <c r="AD8" s="95">
        <v>0.89</v>
      </c>
      <c r="AE8" s="233" t="s">
        <v>207</v>
      </c>
    </row>
    <row r="9" spans="1:31" ht="58">
      <c r="A9" s="39" t="s">
        <v>208</v>
      </c>
      <c r="B9" s="39" t="s">
        <v>209</v>
      </c>
      <c r="C9" s="40">
        <v>8</v>
      </c>
      <c r="D9" s="39">
        <v>98</v>
      </c>
      <c r="E9" s="39" t="s">
        <v>206</v>
      </c>
      <c r="F9" s="39">
        <v>398.7</v>
      </c>
      <c r="G9" s="39">
        <v>41.53</v>
      </c>
      <c r="H9" s="40">
        <f t="shared" si="0"/>
        <v>702.8</v>
      </c>
      <c r="I9" s="39">
        <v>0.70279999999999998</v>
      </c>
      <c r="J9" s="39"/>
      <c r="K9" s="39">
        <v>64.099999999999994</v>
      </c>
      <c r="L9" s="6" t="s">
        <v>202</v>
      </c>
      <c r="M9" s="40">
        <v>7</v>
      </c>
      <c r="N9" s="40">
        <v>0.41599999999999998</v>
      </c>
      <c r="O9" s="40">
        <v>6.7</v>
      </c>
      <c r="P9" s="40">
        <v>6.9</v>
      </c>
      <c r="Q9" s="40">
        <v>0.34599999999999997</v>
      </c>
      <c r="R9" s="40">
        <v>6.6</v>
      </c>
      <c r="S9" s="40">
        <v>78</v>
      </c>
      <c r="T9" s="40">
        <v>80</v>
      </c>
      <c r="U9" s="40">
        <v>47</v>
      </c>
      <c r="V9" s="40">
        <v>48</v>
      </c>
      <c r="W9" s="40">
        <v>1348</v>
      </c>
      <c r="X9" s="40">
        <v>1299</v>
      </c>
      <c r="Y9" s="40">
        <v>528</v>
      </c>
      <c r="Z9" s="40">
        <v>384</v>
      </c>
      <c r="AA9" s="40">
        <v>0.2</v>
      </c>
      <c r="AB9" s="40">
        <v>0.46</v>
      </c>
      <c r="AC9" s="40">
        <v>0.61</v>
      </c>
      <c r="AD9" s="40">
        <v>0.63</v>
      </c>
      <c r="AE9" s="234"/>
    </row>
    <row r="10" spans="1:31" ht="58">
      <c r="A10" s="39" t="s">
        <v>210</v>
      </c>
      <c r="B10" s="39" t="s">
        <v>211</v>
      </c>
      <c r="C10" s="40">
        <v>10</v>
      </c>
      <c r="D10" s="39">
        <v>99</v>
      </c>
      <c r="E10" s="39" t="s">
        <v>206</v>
      </c>
      <c r="F10" s="39">
        <v>447.2</v>
      </c>
      <c r="G10" s="39">
        <v>51.39</v>
      </c>
      <c r="H10" s="40">
        <f t="shared" si="0"/>
        <v>730.1</v>
      </c>
      <c r="I10" s="39">
        <v>0.73009999999999997</v>
      </c>
      <c r="J10" s="39">
        <v>1.27</v>
      </c>
      <c r="K10" s="39">
        <v>76.7</v>
      </c>
      <c r="L10" s="6" t="s">
        <v>202</v>
      </c>
      <c r="M10" s="40">
        <v>6.3</v>
      </c>
      <c r="N10" s="40">
        <v>0</v>
      </c>
      <c r="O10" s="40">
        <v>6</v>
      </c>
      <c r="P10" s="40">
        <v>6.1</v>
      </c>
      <c r="Q10" s="40">
        <v>0</v>
      </c>
      <c r="R10" s="40">
        <v>5.8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234"/>
    </row>
    <row r="11" spans="1:31" ht="58">
      <c r="A11" s="39" t="s">
        <v>212</v>
      </c>
      <c r="B11" s="39" t="s">
        <v>213</v>
      </c>
      <c r="C11" s="40">
        <v>11</v>
      </c>
      <c r="D11" s="39">
        <v>99</v>
      </c>
      <c r="E11" s="39" t="s">
        <v>206</v>
      </c>
      <c r="F11" s="39">
        <v>468</v>
      </c>
      <c r="G11" s="39">
        <v>56.43</v>
      </c>
      <c r="H11" s="40">
        <f t="shared" si="0"/>
        <v>740.19999999999993</v>
      </c>
      <c r="I11" s="39">
        <v>0.74019999999999997</v>
      </c>
      <c r="J11" s="39">
        <v>1.6020000000000001</v>
      </c>
      <c r="K11" s="39">
        <v>81.099999999999994</v>
      </c>
      <c r="L11" s="6" t="s">
        <v>202</v>
      </c>
      <c r="M11" s="40">
        <v>5.8</v>
      </c>
      <c r="N11" s="40">
        <v>0.41599999999999998</v>
      </c>
      <c r="O11" s="40">
        <v>5.5</v>
      </c>
      <c r="P11" s="40">
        <v>5.8</v>
      </c>
      <c r="Q11" s="40">
        <v>0.20799999999999999</v>
      </c>
      <c r="R11" s="40">
        <v>5.5</v>
      </c>
      <c r="S11" s="40">
        <v>74</v>
      </c>
      <c r="T11" s="40">
        <v>84</v>
      </c>
      <c r="U11" s="40">
        <v>49</v>
      </c>
      <c r="V11" s="40">
        <v>44</v>
      </c>
      <c r="W11" s="40">
        <v>1384</v>
      </c>
      <c r="X11" s="40">
        <v>1328</v>
      </c>
      <c r="Y11" s="40">
        <v>607</v>
      </c>
      <c r="Z11" s="40">
        <v>454</v>
      </c>
      <c r="AA11" s="40">
        <v>7.0000000000000007E-2</v>
      </c>
      <c r="AB11" s="40">
        <v>0.03</v>
      </c>
      <c r="AC11" s="40">
        <v>0.69</v>
      </c>
      <c r="AD11" s="40">
        <v>0.73</v>
      </c>
      <c r="AE11" s="234"/>
    </row>
    <row r="12" spans="1:31" ht="58">
      <c r="A12" s="39" t="s">
        <v>214</v>
      </c>
      <c r="B12" s="39" t="s">
        <v>215</v>
      </c>
      <c r="C12" s="40">
        <v>12</v>
      </c>
      <c r="D12" s="39">
        <v>99</v>
      </c>
      <c r="E12" s="39" t="s">
        <v>206</v>
      </c>
      <c r="F12" s="39">
        <v>489</v>
      </c>
      <c r="G12" s="39">
        <v>61.51</v>
      </c>
      <c r="H12" s="40">
        <f t="shared" si="0"/>
        <v>749</v>
      </c>
      <c r="I12" s="39">
        <v>0.749</v>
      </c>
      <c r="J12" s="39">
        <v>1.9790000000000001</v>
      </c>
      <c r="K12" s="39">
        <v>82.5</v>
      </c>
      <c r="L12" s="6" t="s">
        <v>202</v>
      </c>
      <c r="M12" s="40">
        <v>5.6</v>
      </c>
      <c r="N12" s="40">
        <v>0.30599999999999999</v>
      </c>
      <c r="O12" s="40">
        <v>5.3</v>
      </c>
      <c r="P12" s="40">
        <v>5.4</v>
      </c>
      <c r="Q12" s="40">
        <v>0.20799999999999999</v>
      </c>
      <c r="R12" s="40">
        <v>5</v>
      </c>
      <c r="S12" s="40">
        <v>72</v>
      </c>
      <c r="T12" s="40">
        <v>89</v>
      </c>
      <c r="U12" s="40">
        <v>43</v>
      </c>
      <c r="V12" s="40">
        <v>49</v>
      </c>
      <c r="W12" s="40">
        <v>1374</v>
      </c>
      <c r="X12" s="40">
        <v>1336</v>
      </c>
      <c r="Y12" s="40">
        <v>577</v>
      </c>
      <c r="Z12" s="40">
        <v>465</v>
      </c>
      <c r="AA12" s="40">
        <v>0.23</v>
      </c>
      <c r="AB12" s="40">
        <v>0.03</v>
      </c>
      <c r="AC12" s="40">
        <v>1.29</v>
      </c>
      <c r="AD12" s="40">
        <v>1.06</v>
      </c>
      <c r="AE12" s="234"/>
    </row>
    <row r="13" spans="1:31" ht="58">
      <c r="A13" s="39" t="s">
        <v>216</v>
      </c>
      <c r="B13" s="39" t="s">
        <v>217</v>
      </c>
      <c r="C13" s="40">
        <v>14</v>
      </c>
      <c r="D13" s="39">
        <v>99</v>
      </c>
      <c r="E13" s="39" t="s">
        <v>206</v>
      </c>
      <c r="F13" s="39">
        <v>523</v>
      </c>
      <c r="G13" s="39">
        <v>71.3</v>
      </c>
      <c r="H13" s="40">
        <f t="shared" si="0"/>
        <v>762.7</v>
      </c>
      <c r="I13" s="39">
        <v>0.76270000000000004</v>
      </c>
      <c r="J13" s="39">
        <v>3.05</v>
      </c>
      <c r="K13" s="39">
        <v>95</v>
      </c>
      <c r="L13" s="6" t="s">
        <v>202</v>
      </c>
      <c r="M13" s="40">
        <v>5.0999999999999996</v>
      </c>
      <c r="N13" s="40">
        <v>0.29699999999999999</v>
      </c>
      <c r="O13" s="40">
        <v>4.8</v>
      </c>
      <c r="P13" s="40">
        <v>5</v>
      </c>
      <c r="Q13" s="40">
        <v>0.26100000000000001</v>
      </c>
      <c r="R13" s="40">
        <v>4.7</v>
      </c>
      <c r="S13" s="40">
        <v>68</v>
      </c>
      <c r="T13" s="40">
        <v>78</v>
      </c>
      <c r="U13" s="40">
        <v>38</v>
      </c>
      <c r="V13" s="40">
        <v>42</v>
      </c>
      <c r="W13" s="40">
        <v>1358</v>
      </c>
      <c r="X13" s="40">
        <v>1301</v>
      </c>
      <c r="Y13" s="40">
        <v>532</v>
      </c>
      <c r="Z13" s="40">
        <v>387</v>
      </c>
      <c r="AA13" s="40">
        <v>0.04</v>
      </c>
      <c r="AB13" s="40">
        <v>7.0000000000000007E-2</v>
      </c>
      <c r="AC13" s="40">
        <v>1.26</v>
      </c>
      <c r="AD13" s="40">
        <v>1.23</v>
      </c>
      <c r="AE13" s="234"/>
    </row>
    <row r="14" spans="1:31" ht="58">
      <c r="A14" s="39" t="s">
        <v>218</v>
      </c>
      <c r="B14" s="39" t="s">
        <v>219</v>
      </c>
      <c r="C14" s="40">
        <v>15</v>
      </c>
      <c r="D14" s="39">
        <v>99</v>
      </c>
      <c r="E14" s="39" t="s">
        <v>206</v>
      </c>
      <c r="F14" s="39">
        <v>540</v>
      </c>
      <c r="G14" s="39">
        <v>76.11</v>
      </c>
      <c r="H14" s="40">
        <f t="shared" si="0"/>
        <v>768.4</v>
      </c>
      <c r="I14" s="39">
        <v>0.76839999999999997</v>
      </c>
      <c r="J14" s="39">
        <v>3.8</v>
      </c>
      <c r="K14" s="39">
        <v>96</v>
      </c>
      <c r="L14" s="6" t="s">
        <v>202</v>
      </c>
      <c r="M14" s="40">
        <v>4.8</v>
      </c>
      <c r="N14" s="40">
        <v>0.189</v>
      </c>
      <c r="O14" s="40">
        <v>4.5</v>
      </c>
      <c r="P14" s="40">
        <v>4.7</v>
      </c>
      <c r="Q14" s="40">
        <v>8.2000000000000003E-2</v>
      </c>
      <c r="R14" s="40">
        <v>4.3</v>
      </c>
      <c r="S14" s="40">
        <v>70</v>
      </c>
      <c r="T14" s="40">
        <v>84</v>
      </c>
      <c r="U14" s="40">
        <v>45</v>
      </c>
      <c r="V14" s="40">
        <v>46</v>
      </c>
      <c r="W14" s="40">
        <v>1385</v>
      </c>
      <c r="X14" s="40">
        <v>1319</v>
      </c>
      <c r="Y14" s="40">
        <v>548</v>
      </c>
      <c r="Z14" s="40">
        <v>406</v>
      </c>
      <c r="AA14" s="40">
        <v>0.01</v>
      </c>
      <c r="AB14" s="40">
        <v>0.01</v>
      </c>
      <c r="AC14" s="40">
        <v>1.25</v>
      </c>
      <c r="AD14" s="40">
        <v>1.1499999999999999</v>
      </c>
      <c r="AE14" s="234"/>
    </row>
    <row r="15" spans="1:31" ht="58">
      <c r="A15" s="39" t="s">
        <v>220</v>
      </c>
      <c r="B15" s="39" t="s">
        <v>221</v>
      </c>
      <c r="C15" s="40">
        <v>16</v>
      </c>
      <c r="D15" s="39">
        <v>98</v>
      </c>
      <c r="E15" s="39" t="s">
        <v>206</v>
      </c>
      <c r="F15" s="39">
        <v>554</v>
      </c>
      <c r="G15" s="39">
        <v>81.38</v>
      </c>
      <c r="H15" s="40">
        <f t="shared" si="0"/>
        <v>773.3</v>
      </c>
      <c r="I15" s="39">
        <v>0.77329999999999999</v>
      </c>
      <c r="J15" s="39"/>
      <c r="K15" s="39">
        <v>96</v>
      </c>
      <c r="L15" s="6" t="s">
        <v>202</v>
      </c>
      <c r="M15" s="40">
        <v>4.9000000000000004</v>
      </c>
      <c r="N15" s="40">
        <v>7.0999999999999994E-2</v>
      </c>
      <c r="O15" s="40">
        <v>4.5</v>
      </c>
      <c r="P15" s="40">
        <v>4.7</v>
      </c>
      <c r="Q15" s="40">
        <v>0</v>
      </c>
      <c r="R15" s="40">
        <v>4.3</v>
      </c>
      <c r="S15" s="40">
        <v>60</v>
      </c>
      <c r="T15" s="40">
        <v>81</v>
      </c>
      <c r="U15" s="40">
        <v>29</v>
      </c>
      <c r="V15" s="40">
        <v>39</v>
      </c>
      <c r="W15" s="40">
        <v>1339</v>
      </c>
      <c r="X15" s="40">
        <v>1300</v>
      </c>
      <c r="Y15" s="40">
        <v>524</v>
      </c>
      <c r="Z15" s="40">
        <v>418</v>
      </c>
      <c r="AA15" s="40">
        <v>0.11</v>
      </c>
      <c r="AB15" s="40">
        <v>0.02</v>
      </c>
      <c r="AC15" s="40">
        <v>1.29</v>
      </c>
      <c r="AD15" s="40">
        <v>1.19</v>
      </c>
      <c r="AE15" s="234"/>
    </row>
    <row r="16" spans="1:31" ht="58">
      <c r="A16" s="39" t="s">
        <v>222</v>
      </c>
      <c r="B16" s="39" t="s">
        <v>223</v>
      </c>
      <c r="C16" s="40">
        <v>18</v>
      </c>
      <c r="D16" s="39">
        <v>99</v>
      </c>
      <c r="E16" s="39" t="s">
        <v>206</v>
      </c>
      <c r="F16" s="39">
        <v>589.29999999999995</v>
      </c>
      <c r="G16" s="39">
        <v>54.475999999999999</v>
      </c>
      <c r="H16" s="40">
        <f t="shared" si="0"/>
        <v>776.69999999999993</v>
      </c>
      <c r="I16" s="39">
        <v>0.77669999999999995</v>
      </c>
      <c r="J16" s="39"/>
      <c r="K16" s="39">
        <v>106.3</v>
      </c>
      <c r="L16" s="6" t="s">
        <v>202</v>
      </c>
      <c r="M16" s="40">
        <v>4.4000000000000004</v>
      </c>
      <c r="N16" s="40">
        <v>7.0999999999999994E-2</v>
      </c>
      <c r="O16" s="40">
        <v>3.9</v>
      </c>
      <c r="P16" s="40">
        <v>4.4000000000000004</v>
      </c>
      <c r="Q16" s="40">
        <v>7.0999999999999994E-2</v>
      </c>
      <c r="R16" s="40">
        <v>3.9</v>
      </c>
      <c r="S16" s="40">
        <v>67</v>
      </c>
      <c r="T16" s="40">
        <v>82</v>
      </c>
      <c r="U16" s="40">
        <v>38</v>
      </c>
      <c r="V16" s="40">
        <v>43</v>
      </c>
      <c r="W16" s="40">
        <v>1361</v>
      </c>
      <c r="X16" s="40">
        <v>1317</v>
      </c>
      <c r="Y16" s="40">
        <v>522</v>
      </c>
      <c r="Z16" s="40">
        <v>403</v>
      </c>
      <c r="AA16" s="40">
        <v>0.69</v>
      </c>
      <c r="AB16" s="40">
        <v>0.41</v>
      </c>
      <c r="AC16" s="40">
        <v>1.2</v>
      </c>
      <c r="AD16" s="40">
        <v>0.9</v>
      </c>
      <c r="AE16" s="234"/>
    </row>
    <row r="17" spans="1:31" ht="58">
      <c r="A17" s="39" t="s">
        <v>224</v>
      </c>
      <c r="B17" s="39" t="s">
        <v>225</v>
      </c>
      <c r="C17" s="40">
        <v>20</v>
      </c>
      <c r="D17" s="39">
        <v>97</v>
      </c>
      <c r="E17" s="39" t="s">
        <v>206</v>
      </c>
      <c r="F17" s="39">
        <v>616.20000000000005</v>
      </c>
      <c r="G17" s="39"/>
      <c r="H17" s="40">
        <f t="shared" si="0"/>
        <v>782.3</v>
      </c>
      <c r="I17" s="39">
        <v>0.7823</v>
      </c>
      <c r="J17" s="39"/>
      <c r="K17" s="39">
        <v>110</v>
      </c>
      <c r="L17" s="6" t="s">
        <v>202</v>
      </c>
      <c r="M17" s="40">
        <v>4.3</v>
      </c>
      <c r="N17" s="40">
        <v>0</v>
      </c>
      <c r="O17" s="40">
        <v>3.9</v>
      </c>
      <c r="P17" s="40">
        <v>4.3</v>
      </c>
      <c r="Q17" s="40">
        <v>0</v>
      </c>
      <c r="R17" s="40">
        <v>3.9</v>
      </c>
      <c r="S17" s="40">
        <v>63</v>
      </c>
      <c r="T17" s="40">
        <v>79</v>
      </c>
      <c r="U17" s="40">
        <v>34</v>
      </c>
      <c r="V17" s="40">
        <v>38</v>
      </c>
      <c r="W17" s="40">
        <v>1365</v>
      </c>
      <c r="X17" s="40">
        <v>1324</v>
      </c>
      <c r="Y17" s="40">
        <v>582</v>
      </c>
      <c r="Z17" s="40">
        <v>450</v>
      </c>
      <c r="AA17" s="40">
        <v>0.09</v>
      </c>
      <c r="AB17" s="40">
        <v>0.08</v>
      </c>
      <c r="AC17" s="40">
        <v>1.43</v>
      </c>
      <c r="AD17" s="40">
        <v>1.19</v>
      </c>
      <c r="AE17" s="234"/>
    </row>
    <row r="18" spans="1:31" ht="58">
      <c r="A18" s="39" t="s">
        <v>226</v>
      </c>
      <c r="B18" s="39" t="s">
        <v>227</v>
      </c>
      <c r="C18" s="40">
        <v>22</v>
      </c>
      <c r="D18" s="39">
        <v>99</v>
      </c>
      <c r="E18" s="39" t="s">
        <v>206</v>
      </c>
      <c r="F18" s="39">
        <v>641.79999999999995</v>
      </c>
      <c r="G18" s="39"/>
      <c r="H18" s="40">
        <f t="shared" si="0"/>
        <v>778.2</v>
      </c>
      <c r="I18" s="39">
        <v>0.7782</v>
      </c>
      <c r="J18" s="39"/>
      <c r="K18" s="39"/>
      <c r="L18" s="6" t="s">
        <v>202</v>
      </c>
      <c r="M18" s="40">
        <v>4.3</v>
      </c>
      <c r="N18" s="40">
        <v>0</v>
      </c>
      <c r="O18" s="40">
        <v>3.9</v>
      </c>
      <c r="P18" s="40">
        <v>4.0999999999999996</v>
      </c>
      <c r="Q18" s="40">
        <v>0</v>
      </c>
      <c r="R18" s="40">
        <v>3.7</v>
      </c>
      <c r="S18" s="40">
        <v>58</v>
      </c>
      <c r="T18" s="40">
        <v>71</v>
      </c>
      <c r="U18" s="40">
        <v>32</v>
      </c>
      <c r="V18" s="40">
        <v>34</v>
      </c>
      <c r="W18" s="40">
        <v>1359</v>
      </c>
      <c r="X18" s="40">
        <v>1316</v>
      </c>
      <c r="Y18" s="40">
        <v>577</v>
      </c>
      <c r="Z18" s="40">
        <v>437</v>
      </c>
      <c r="AA18" s="40">
        <v>0.15</v>
      </c>
      <c r="AB18" s="40">
        <v>0.09</v>
      </c>
      <c r="AC18" s="40">
        <v>1.1299999999999999</v>
      </c>
      <c r="AD18" s="40">
        <v>1</v>
      </c>
      <c r="AE18" s="234"/>
    </row>
    <row r="19" spans="1:31" ht="58">
      <c r="A19" s="39" t="s">
        <v>228</v>
      </c>
      <c r="B19" s="39" t="s">
        <v>229</v>
      </c>
      <c r="C19" s="40">
        <v>8</v>
      </c>
      <c r="D19" s="39">
        <v>98</v>
      </c>
      <c r="E19" s="39" t="s">
        <v>206</v>
      </c>
      <c r="F19" s="39">
        <v>395</v>
      </c>
      <c r="G19" s="39">
        <v>40.44</v>
      </c>
      <c r="H19" s="40">
        <f t="shared" si="0"/>
        <v>714.9</v>
      </c>
      <c r="I19" s="39">
        <v>0.71489999999999998</v>
      </c>
      <c r="J19" s="39"/>
      <c r="K19" s="39">
        <v>70.8</v>
      </c>
      <c r="L19" s="6" t="s">
        <v>202</v>
      </c>
      <c r="M19" s="40">
        <v>9</v>
      </c>
      <c r="N19" s="40">
        <v>0.70699999999999996</v>
      </c>
      <c r="O19" s="40">
        <v>8.9</v>
      </c>
      <c r="P19" s="40">
        <v>8.6999999999999993</v>
      </c>
      <c r="Q19" s="40">
        <v>0.42399999999999999</v>
      </c>
      <c r="R19" s="40">
        <v>8.6</v>
      </c>
      <c r="S19" s="40">
        <v>92</v>
      </c>
      <c r="T19" s="40">
        <v>85</v>
      </c>
      <c r="U19" s="40">
        <v>45</v>
      </c>
      <c r="V19" s="40">
        <v>46</v>
      </c>
      <c r="W19" s="40">
        <v>1358</v>
      </c>
      <c r="X19" s="40">
        <v>1301</v>
      </c>
      <c r="Y19" s="40">
        <v>733</v>
      </c>
      <c r="Z19" s="40">
        <v>563</v>
      </c>
      <c r="AA19" s="40">
        <v>0.44</v>
      </c>
      <c r="AB19" s="40"/>
      <c r="AC19" s="40">
        <v>1.83</v>
      </c>
      <c r="AD19" s="40">
        <v>0.87</v>
      </c>
      <c r="AE19" s="234"/>
    </row>
    <row r="20" spans="1:31" ht="58">
      <c r="A20" s="39" t="s">
        <v>230</v>
      </c>
      <c r="B20" s="39" t="s">
        <v>231</v>
      </c>
      <c r="C20" s="40">
        <v>8</v>
      </c>
      <c r="D20" s="39">
        <v>97</v>
      </c>
      <c r="E20" s="39" t="s">
        <v>206</v>
      </c>
      <c r="F20" s="39">
        <v>389</v>
      </c>
      <c r="G20" s="39">
        <v>32.067999999999998</v>
      </c>
      <c r="H20" s="40">
        <f t="shared" si="0"/>
        <v>0</v>
      </c>
      <c r="I20" s="39"/>
      <c r="J20" s="39"/>
      <c r="K20" s="39"/>
      <c r="L20" s="6" t="s">
        <v>202</v>
      </c>
      <c r="M20" s="40">
        <v>13</v>
      </c>
      <c r="N20" s="40">
        <v>2.758</v>
      </c>
      <c r="O20" s="40"/>
      <c r="P20" s="40">
        <v>12.2</v>
      </c>
      <c r="Q20" s="40">
        <v>0.70699999999999996</v>
      </c>
      <c r="R20" s="40"/>
      <c r="S20" s="40">
        <v>94</v>
      </c>
      <c r="T20" s="40">
        <v>105</v>
      </c>
      <c r="U20" s="40">
        <v>48</v>
      </c>
      <c r="V20" s="40">
        <v>48</v>
      </c>
      <c r="W20" s="40">
        <v>1397</v>
      </c>
      <c r="X20" s="40">
        <v>1326</v>
      </c>
      <c r="Y20" s="40">
        <v>1066</v>
      </c>
      <c r="Z20" s="40">
        <v>815</v>
      </c>
      <c r="AA20" s="40">
        <v>0.4</v>
      </c>
      <c r="AB20" s="40"/>
      <c r="AC20" s="40">
        <v>0.48</v>
      </c>
      <c r="AD20" s="40">
        <v>0.56999999999999995</v>
      </c>
      <c r="AE20" s="234"/>
    </row>
    <row r="21" spans="1:31" ht="58">
      <c r="A21" s="39" t="s">
        <v>232</v>
      </c>
      <c r="B21" s="39" t="s">
        <v>233</v>
      </c>
      <c r="C21" s="40">
        <v>10</v>
      </c>
      <c r="D21" s="39">
        <v>95</v>
      </c>
      <c r="E21" s="39" t="s">
        <v>206</v>
      </c>
      <c r="F21" s="39">
        <v>440</v>
      </c>
      <c r="G21" s="39">
        <v>50.44</v>
      </c>
      <c r="H21" s="40">
        <f t="shared" si="0"/>
        <v>740.80000000000007</v>
      </c>
      <c r="I21" s="39">
        <v>0.74080000000000001</v>
      </c>
      <c r="J21" s="40">
        <v>1.06</v>
      </c>
      <c r="K21" s="39">
        <v>56.5</v>
      </c>
      <c r="L21" s="6" t="s">
        <v>202</v>
      </c>
      <c r="M21" s="40">
        <v>7.8</v>
      </c>
      <c r="N21" s="40">
        <v>0.42399999999999999</v>
      </c>
      <c r="O21" s="40">
        <v>7.6</v>
      </c>
      <c r="P21" s="40">
        <v>7.6</v>
      </c>
      <c r="Q21" s="40">
        <v>0.35399999999999998</v>
      </c>
      <c r="R21" s="40">
        <v>7.4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234"/>
    </row>
    <row r="22" spans="1:31" ht="58">
      <c r="A22" s="39" t="s">
        <v>234</v>
      </c>
      <c r="B22" s="39" t="s">
        <v>235</v>
      </c>
      <c r="C22" s="40">
        <v>12</v>
      </c>
      <c r="D22" s="39">
        <v>95</v>
      </c>
      <c r="E22" s="39" t="s">
        <v>206</v>
      </c>
      <c r="F22" s="39">
        <v>486.2</v>
      </c>
      <c r="G22" s="39">
        <v>60.78</v>
      </c>
      <c r="H22" s="40">
        <f t="shared" si="0"/>
        <v>758.4</v>
      </c>
      <c r="I22" s="39">
        <v>0.75839999999999996</v>
      </c>
      <c r="J22" s="40">
        <v>1.661</v>
      </c>
      <c r="K22" s="39">
        <v>71.2</v>
      </c>
      <c r="L22" s="6" t="s">
        <v>202</v>
      </c>
      <c r="M22" s="40">
        <v>7</v>
      </c>
      <c r="N22" s="40">
        <v>0.42399999999999999</v>
      </c>
      <c r="O22" s="40">
        <v>6.8</v>
      </c>
      <c r="P22" s="40">
        <v>7</v>
      </c>
      <c r="Q22" s="40">
        <v>0.21199999999999999</v>
      </c>
      <c r="R22" s="40">
        <v>6.7</v>
      </c>
      <c r="S22" s="40">
        <v>83</v>
      </c>
      <c r="T22" s="40">
        <v>84</v>
      </c>
      <c r="U22" s="40">
        <v>45</v>
      </c>
      <c r="V22" s="40">
        <v>47</v>
      </c>
      <c r="W22" s="40">
        <v>1357</v>
      </c>
      <c r="X22" s="40">
        <v>1308</v>
      </c>
      <c r="Y22" s="40">
        <v>647</v>
      </c>
      <c r="Z22" s="40">
        <v>511</v>
      </c>
      <c r="AA22" s="40">
        <v>0.06</v>
      </c>
      <c r="AB22" s="40">
        <v>0.05</v>
      </c>
      <c r="AC22" s="40">
        <v>0.71</v>
      </c>
      <c r="AD22" s="40">
        <v>0.93</v>
      </c>
      <c r="AE22" s="234"/>
    </row>
    <row r="23" spans="1:31" ht="58">
      <c r="A23" s="39" t="s">
        <v>236</v>
      </c>
      <c r="B23" s="39" t="s">
        <v>237</v>
      </c>
      <c r="C23" s="40">
        <v>14</v>
      </c>
      <c r="D23" s="39">
        <v>92</v>
      </c>
      <c r="E23" s="39" t="s">
        <v>206</v>
      </c>
      <c r="F23" s="39">
        <v>524.20000000000005</v>
      </c>
      <c r="G23" s="39"/>
      <c r="H23" s="40">
        <f t="shared" si="0"/>
        <v>775</v>
      </c>
      <c r="I23" s="39">
        <v>0.77500000000000002</v>
      </c>
      <c r="J23" s="40">
        <v>2.5030000000000001</v>
      </c>
      <c r="K23" s="39">
        <v>80.3</v>
      </c>
      <c r="L23" s="6" t="s">
        <v>202</v>
      </c>
      <c r="M23" s="40">
        <v>6</v>
      </c>
      <c r="N23" s="40">
        <v>0.503</v>
      </c>
      <c r="O23" s="40">
        <v>5.7</v>
      </c>
      <c r="P23" s="40">
        <v>5.9</v>
      </c>
      <c r="Q23" s="40">
        <v>0.4</v>
      </c>
      <c r="R23" s="40">
        <v>5.6</v>
      </c>
      <c r="S23" s="40">
        <v>77</v>
      </c>
      <c r="T23" s="40">
        <v>90</v>
      </c>
      <c r="U23" s="40">
        <v>42</v>
      </c>
      <c r="V23" s="40">
        <v>44</v>
      </c>
      <c r="W23" s="40">
        <v>1344</v>
      </c>
      <c r="X23" s="40">
        <v>1321</v>
      </c>
      <c r="Y23" s="40">
        <v>540</v>
      </c>
      <c r="Z23" s="40">
        <v>512</v>
      </c>
      <c r="AA23" s="40">
        <v>0.48</v>
      </c>
      <c r="AB23" s="40">
        <v>0.04</v>
      </c>
      <c r="AC23" s="40">
        <v>0.98</v>
      </c>
      <c r="AD23" s="40">
        <v>0.53</v>
      </c>
      <c r="AE23" s="234"/>
    </row>
    <row r="24" spans="1:31" ht="58">
      <c r="A24" s="39" t="s">
        <v>238</v>
      </c>
      <c r="B24" s="39" t="s">
        <v>239</v>
      </c>
      <c r="C24" s="40">
        <v>17</v>
      </c>
      <c r="D24" s="39">
        <v>98</v>
      </c>
      <c r="E24" s="39" t="s">
        <v>206</v>
      </c>
      <c r="F24" s="39">
        <v>587.9</v>
      </c>
      <c r="G24" s="39">
        <v>53.048000000000002</v>
      </c>
      <c r="H24" s="40">
        <f t="shared" si="0"/>
        <v>0</v>
      </c>
      <c r="I24" s="40"/>
      <c r="J24" s="40"/>
      <c r="K24" s="40"/>
      <c r="L24" s="6" t="s">
        <v>202</v>
      </c>
      <c r="M24" s="40">
        <v>5</v>
      </c>
      <c r="N24" s="40">
        <v>0</v>
      </c>
      <c r="O24" s="40"/>
      <c r="P24" s="40">
        <v>4.9000000000000004</v>
      </c>
      <c r="Q24" s="40">
        <v>0</v>
      </c>
      <c r="R24" s="40"/>
      <c r="S24" s="40">
        <v>68</v>
      </c>
      <c r="T24" s="40">
        <v>83</v>
      </c>
      <c r="U24" s="40">
        <v>34</v>
      </c>
      <c r="V24" s="40">
        <v>41</v>
      </c>
      <c r="W24" s="40">
        <v>1360</v>
      </c>
      <c r="X24" s="40">
        <v>1308</v>
      </c>
      <c r="Y24" s="40">
        <v>496</v>
      </c>
      <c r="Z24" s="40">
        <v>370</v>
      </c>
      <c r="AA24" s="40">
        <v>0.24</v>
      </c>
      <c r="AB24" s="40">
        <v>0.35</v>
      </c>
      <c r="AC24" s="40">
        <v>1.7</v>
      </c>
      <c r="AD24" s="40">
        <v>2.72</v>
      </c>
      <c r="AE24" s="234"/>
    </row>
    <row r="25" spans="1:31" ht="58">
      <c r="A25" s="39" t="s">
        <v>240</v>
      </c>
      <c r="B25" s="39" t="s">
        <v>241</v>
      </c>
      <c r="C25" s="40">
        <v>19</v>
      </c>
      <c r="D25" s="39">
        <v>98</v>
      </c>
      <c r="E25" s="39" t="s">
        <v>206</v>
      </c>
      <c r="F25" s="39">
        <v>439.2</v>
      </c>
      <c r="G25" s="39">
        <v>56.335999999999999</v>
      </c>
      <c r="H25" s="40">
        <f t="shared" si="0"/>
        <v>782.69999999999993</v>
      </c>
      <c r="I25" s="39">
        <v>0.78269999999999995</v>
      </c>
      <c r="J25" s="40"/>
      <c r="K25" s="40"/>
      <c r="L25" s="6" t="s">
        <v>202</v>
      </c>
      <c r="M25" s="40">
        <v>6</v>
      </c>
      <c r="N25" s="40">
        <v>0.14099999999999999</v>
      </c>
      <c r="O25" s="40"/>
      <c r="P25" s="40">
        <v>5.9</v>
      </c>
      <c r="Q25" s="40">
        <v>0</v>
      </c>
      <c r="R25" s="40"/>
      <c r="S25" s="40">
        <v>67</v>
      </c>
      <c r="T25" s="40">
        <v>76</v>
      </c>
      <c r="U25" s="40">
        <v>42</v>
      </c>
      <c r="V25" s="40">
        <v>47</v>
      </c>
      <c r="W25" s="40">
        <v>1371</v>
      </c>
      <c r="X25" s="40">
        <v>1312</v>
      </c>
      <c r="Y25" s="40">
        <v>575</v>
      </c>
      <c r="Z25" s="40">
        <v>426</v>
      </c>
      <c r="AA25" s="40">
        <v>0.38</v>
      </c>
      <c r="AB25" s="40">
        <v>0.34</v>
      </c>
      <c r="AC25" s="40">
        <v>0.92</v>
      </c>
      <c r="AD25" s="40">
        <v>1.1100000000000001</v>
      </c>
      <c r="AE25" s="235"/>
    </row>
    <row r="27" spans="1:31">
      <c r="A27" s="14" t="s">
        <v>242</v>
      </c>
    </row>
    <row r="28" spans="1:31">
      <c r="A28" s="14"/>
    </row>
    <row r="29" spans="1:31" s="34" customFormat="1" ht="45.75" customHeight="1">
      <c r="A29" s="226" t="s">
        <v>21</v>
      </c>
      <c r="B29" s="226" t="s">
        <v>143</v>
      </c>
      <c r="C29" s="226"/>
      <c r="D29" s="226" t="s">
        <v>193</v>
      </c>
      <c r="E29" s="226"/>
      <c r="F29" s="226" t="s">
        <v>194</v>
      </c>
      <c r="G29" s="226"/>
      <c r="H29" s="5"/>
      <c r="I29" s="226" t="s">
        <v>23</v>
      </c>
      <c r="J29" s="226"/>
      <c r="K29" s="227" t="s">
        <v>195</v>
      </c>
      <c r="L29" s="230"/>
      <c r="M29" s="236" t="s">
        <v>25</v>
      </c>
      <c r="N29" s="237"/>
      <c r="O29" s="232" t="s">
        <v>196</v>
      </c>
      <c r="P29" s="232"/>
      <c r="Q29" s="100"/>
      <c r="R29" s="99"/>
      <c r="S29" s="99"/>
      <c r="T29" s="99"/>
      <c r="U29" s="100"/>
      <c r="V29" s="100"/>
      <c r="W29" s="100"/>
      <c r="X29" s="100"/>
    </row>
    <row r="30" spans="1:31" s="31" customFormat="1" ht="29">
      <c r="A30" s="226"/>
      <c r="B30" s="5" t="s">
        <v>153</v>
      </c>
      <c r="C30" s="5" t="s">
        <v>154</v>
      </c>
      <c r="D30" s="5" t="s">
        <v>153</v>
      </c>
      <c r="E30" s="5" t="s">
        <v>154</v>
      </c>
      <c r="F30" s="5" t="s">
        <v>153</v>
      </c>
      <c r="G30" s="5" t="s">
        <v>154</v>
      </c>
      <c r="H30" s="5"/>
      <c r="I30" s="5" t="s">
        <v>153</v>
      </c>
      <c r="J30" s="5" t="s">
        <v>154</v>
      </c>
      <c r="K30" s="5" t="s">
        <v>153</v>
      </c>
      <c r="L30" s="5" t="s">
        <v>154</v>
      </c>
      <c r="M30" s="5" t="s">
        <v>153</v>
      </c>
      <c r="N30" s="28" t="s">
        <v>154</v>
      </c>
      <c r="O30" s="30" t="s">
        <v>153</v>
      </c>
      <c r="P30" s="30" t="s">
        <v>154</v>
      </c>
      <c r="Q30" s="12"/>
      <c r="R30" s="12"/>
      <c r="S30" s="12"/>
      <c r="T30" s="12"/>
      <c r="U30" s="12"/>
      <c r="V30" s="12"/>
      <c r="W30" s="12"/>
    </row>
    <row r="31" spans="1:31" s="33" customFormat="1">
      <c r="A31" s="41">
        <v>3.6</v>
      </c>
      <c r="B31" s="41"/>
      <c r="C31" s="41">
        <v>71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101"/>
      <c r="O31" s="42"/>
      <c r="P31" s="42"/>
      <c r="AB31" s="32"/>
    </row>
    <row r="32" spans="1:31">
      <c r="A32" s="40">
        <v>3.9</v>
      </c>
      <c r="B32" s="40">
        <v>63</v>
      </c>
      <c r="C32" s="40">
        <v>82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94"/>
      <c r="O32" s="40"/>
      <c r="P32" s="40"/>
    </row>
    <row r="33" spans="1:16">
      <c r="A33" s="40">
        <v>4.0999999999999996</v>
      </c>
      <c r="B33" s="40"/>
      <c r="C33" s="40"/>
      <c r="D33" s="40"/>
      <c r="E33" s="40">
        <v>35</v>
      </c>
      <c r="F33" s="40"/>
      <c r="G33" s="40">
        <v>1316</v>
      </c>
      <c r="H33" s="40"/>
      <c r="I33" s="40"/>
      <c r="J33" s="40">
        <v>440</v>
      </c>
      <c r="K33" s="40"/>
      <c r="L33" s="40">
        <v>0.09</v>
      </c>
      <c r="M33" s="40"/>
      <c r="N33" s="94">
        <v>223</v>
      </c>
      <c r="O33" s="40"/>
      <c r="P33" s="40">
        <v>0.99</v>
      </c>
    </row>
    <row r="34" spans="1:16">
      <c r="A34" s="40">
        <v>4.2</v>
      </c>
      <c r="B34" s="40"/>
      <c r="C34" s="40">
        <v>103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94"/>
      <c r="O34" s="40"/>
      <c r="P34" s="40"/>
    </row>
    <row r="35" spans="1:16">
      <c r="A35" s="40">
        <v>4.3</v>
      </c>
      <c r="B35" s="40">
        <v>82</v>
      </c>
      <c r="C35" s="40">
        <v>100</v>
      </c>
      <c r="D35" s="40">
        <v>34</v>
      </c>
      <c r="E35" s="40">
        <v>43</v>
      </c>
      <c r="F35" s="40">
        <v>1363</v>
      </c>
      <c r="G35" s="40">
        <v>1326</v>
      </c>
      <c r="H35" s="40"/>
      <c r="I35" s="40">
        <v>581</v>
      </c>
      <c r="J35" s="40">
        <v>454</v>
      </c>
      <c r="K35" s="40">
        <v>0.13</v>
      </c>
      <c r="L35" s="40">
        <v>0.06</v>
      </c>
      <c r="M35" s="40">
        <v>184</v>
      </c>
      <c r="N35" s="94">
        <v>275</v>
      </c>
      <c r="O35" s="40">
        <v>1.2</v>
      </c>
      <c r="P35" s="40">
        <v>1.05</v>
      </c>
    </row>
    <row r="36" spans="1:16">
      <c r="A36" s="40">
        <v>4.4000000000000004</v>
      </c>
      <c r="B36" s="40"/>
      <c r="C36" s="40">
        <v>112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94"/>
      <c r="O36" s="40"/>
      <c r="P36" s="40"/>
    </row>
    <row r="37" spans="1:16">
      <c r="A37" s="40">
        <v>4.5</v>
      </c>
      <c r="B37" s="40">
        <v>85</v>
      </c>
      <c r="C37" s="40">
        <v>107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94"/>
      <c r="O37" s="40"/>
      <c r="P37" s="40"/>
    </row>
    <row r="38" spans="1:16">
      <c r="A38" s="40">
        <v>4.5999999999999996</v>
      </c>
      <c r="B38" s="40"/>
      <c r="C38" s="40"/>
      <c r="D38" s="40"/>
      <c r="E38" s="40">
        <v>47</v>
      </c>
      <c r="F38" s="40"/>
      <c r="G38" s="40">
        <v>1366</v>
      </c>
      <c r="H38" s="40"/>
      <c r="I38" s="40"/>
      <c r="J38" s="40">
        <v>477</v>
      </c>
      <c r="K38" s="40"/>
      <c r="L38" s="40">
        <v>0.03</v>
      </c>
      <c r="M38" s="40"/>
      <c r="N38" s="94">
        <v>143</v>
      </c>
      <c r="O38" s="40"/>
      <c r="P38" s="40">
        <v>1.58</v>
      </c>
    </row>
    <row r="39" spans="1:16">
      <c r="A39" s="40">
        <v>4.7</v>
      </c>
      <c r="B39" s="40">
        <v>103</v>
      </c>
      <c r="C39" s="40">
        <v>121</v>
      </c>
      <c r="D39" s="40">
        <v>51</v>
      </c>
      <c r="E39" s="40">
        <v>49</v>
      </c>
      <c r="F39" s="40">
        <v>1386</v>
      </c>
      <c r="G39" s="40">
        <v>1332</v>
      </c>
      <c r="H39" s="40"/>
      <c r="I39" s="40">
        <v>581</v>
      </c>
      <c r="J39" s="40">
        <v>471</v>
      </c>
      <c r="K39" s="40">
        <v>0.05</v>
      </c>
      <c r="L39" s="40">
        <v>0.03</v>
      </c>
      <c r="M39" s="40">
        <v>304</v>
      </c>
      <c r="N39" s="94">
        <v>197</v>
      </c>
      <c r="O39" s="40">
        <v>1.07</v>
      </c>
      <c r="P39" s="40">
        <v>0.91</v>
      </c>
    </row>
    <row r="40" spans="1:16">
      <c r="A40" s="40">
        <v>4.8</v>
      </c>
      <c r="B40" s="40"/>
      <c r="C40" s="40">
        <v>129</v>
      </c>
      <c r="D40" s="40"/>
      <c r="E40" s="40">
        <v>61</v>
      </c>
      <c r="F40" s="40"/>
      <c r="G40" s="40">
        <v>1331</v>
      </c>
      <c r="H40" s="40"/>
      <c r="I40" s="40"/>
      <c r="J40" s="40">
        <v>463</v>
      </c>
      <c r="K40" s="40"/>
      <c r="L40" s="40">
        <v>0.03</v>
      </c>
      <c r="M40" s="40"/>
      <c r="N40" s="94">
        <v>154</v>
      </c>
      <c r="O40" s="40"/>
      <c r="P40" s="40">
        <v>0.57999999999999996</v>
      </c>
    </row>
    <row r="41" spans="1:16">
      <c r="A41" s="40">
        <v>4.9000000000000004</v>
      </c>
      <c r="B41" s="40">
        <v>121</v>
      </c>
      <c r="C41" s="40"/>
      <c r="D41" s="40">
        <v>37</v>
      </c>
      <c r="E41" s="40">
        <v>54</v>
      </c>
      <c r="F41" s="40">
        <v>1361</v>
      </c>
      <c r="G41" s="40">
        <v>1346</v>
      </c>
      <c r="H41" s="40"/>
      <c r="I41" s="40">
        <v>580</v>
      </c>
      <c r="J41" s="40">
        <v>447</v>
      </c>
      <c r="K41" s="40">
        <v>0.15</v>
      </c>
      <c r="L41" s="40"/>
      <c r="M41" s="40">
        <v>152</v>
      </c>
      <c r="N41" s="94"/>
      <c r="O41" s="40">
        <v>1.1200000000000001</v>
      </c>
      <c r="P41" s="40"/>
    </row>
    <row r="42" spans="1:16">
      <c r="A42" s="40">
        <v>5</v>
      </c>
      <c r="B42" s="40"/>
      <c r="C42" s="40">
        <v>126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94"/>
      <c r="O42" s="40"/>
      <c r="P42" s="40"/>
    </row>
    <row r="43" spans="1:16">
      <c r="A43" s="40">
        <v>5.0999999999999996</v>
      </c>
      <c r="B43" s="40">
        <v>136</v>
      </c>
      <c r="C43" s="40"/>
      <c r="D43" s="40">
        <v>50</v>
      </c>
      <c r="E43" s="40">
        <v>62</v>
      </c>
      <c r="F43" s="40">
        <v>1370</v>
      </c>
      <c r="G43" s="40">
        <v>1341</v>
      </c>
      <c r="H43" s="40"/>
      <c r="I43" s="40">
        <v>570</v>
      </c>
      <c r="J43" s="40">
        <v>471</v>
      </c>
      <c r="K43" s="40">
        <v>0.12</v>
      </c>
      <c r="L43" s="40">
        <v>0.04</v>
      </c>
      <c r="M43" s="40">
        <v>111</v>
      </c>
      <c r="N43" s="94">
        <v>167</v>
      </c>
      <c r="O43" s="40">
        <v>0.92</v>
      </c>
      <c r="P43" s="40">
        <v>0.96</v>
      </c>
    </row>
    <row r="44" spans="1:16">
      <c r="A44" s="40">
        <v>5.2</v>
      </c>
      <c r="B44" s="40"/>
      <c r="C44" s="40">
        <v>138</v>
      </c>
      <c r="D44" s="40"/>
      <c r="E44" s="40">
        <v>68</v>
      </c>
      <c r="F44" s="40"/>
      <c r="G44" s="40">
        <v>1377</v>
      </c>
      <c r="H44" s="40"/>
      <c r="I44" s="40"/>
      <c r="J44" s="40">
        <v>554</v>
      </c>
      <c r="K44" s="40"/>
      <c r="L44" s="40">
        <v>0.03</v>
      </c>
      <c r="M44" s="40"/>
      <c r="N44" s="94">
        <v>31</v>
      </c>
      <c r="O44" s="40"/>
      <c r="P44" s="40">
        <v>0.72</v>
      </c>
    </row>
    <row r="45" spans="1:16">
      <c r="A45" s="40">
        <v>5.3</v>
      </c>
      <c r="B45" s="40"/>
      <c r="C45" s="40">
        <v>148</v>
      </c>
      <c r="D45" s="40">
        <v>58</v>
      </c>
      <c r="E45" s="40"/>
      <c r="F45" s="40">
        <v>1388</v>
      </c>
      <c r="G45" s="40"/>
      <c r="H45" s="40"/>
      <c r="I45" s="40">
        <v>589</v>
      </c>
      <c r="J45" s="40"/>
      <c r="K45" s="40">
        <v>7.0000000000000007E-2</v>
      </c>
      <c r="L45" s="40"/>
      <c r="M45" s="40">
        <v>214</v>
      </c>
      <c r="N45" s="94"/>
      <c r="O45" s="40">
        <v>0.61</v>
      </c>
      <c r="P45" s="40"/>
    </row>
    <row r="46" spans="1:16">
      <c r="A46" s="40">
        <v>5.4</v>
      </c>
      <c r="B46" s="40">
        <v>146</v>
      </c>
      <c r="C46" s="40">
        <v>153</v>
      </c>
      <c r="D46" s="40"/>
      <c r="E46" s="40">
        <v>62</v>
      </c>
      <c r="F46" s="40"/>
      <c r="G46" s="40">
        <v>1339</v>
      </c>
      <c r="H46" s="40"/>
      <c r="I46" s="40"/>
      <c r="J46" s="40">
        <v>474</v>
      </c>
      <c r="K46" s="40"/>
      <c r="L46" s="40">
        <v>0.03</v>
      </c>
      <c r="M46" s="40"/>
      <c r="N46" s="94">
        <v>309</v>
      </c>
      <c r="O46" s="40"/>
      <c r="P46" s="40">
        <v>0.49</v>
      </c>
    </row>
    <row r="47" spans="1:16">
      <c r="A47" s="40">
        <v>5.5</v>
      </c>
      <c r="B47" s="40"/>
      <c r="C47" s="40"/>
      <c r="D47" s="40">
        <v>65</v>
      </c>
      <c r="E47" s="40">
        <v>70</v>
      </c>
      <c r="F47" s="40">
        <v>1388</v>
      </c>
      <c r="G47" s="40">
        <v>1364</v>
      </c>
      <c r="H47" s="40"/>
      <c r="I47" s="40">
        <v>610</v>
      </c>
      <c r="J47" s="40">
        <v>558</v>
      </c>
      <c r="K47" s="40">
        <v>0.3</v>
      </c>
      <c r="L47" s="40">
        <v>0.08</v>
      </c>
      <c r="M47" s="40">
        <v>236</v>
      </c>
      <c r="N47" s="94">
        <v>110</v>
      </c>
      <c r="O47" s="40">
        <v>0.59</v>
      </c>
      <c r="P47" s="40">
        <v>0.73</v>
      </c>
    </row>
    <row r="48" spans="1:16">
      <c r="A48" s="40">
        <v>5.6</v>
      </c>
      <c r="B48" s="40">
        <v>153</v>
      </c>
      <c r="C48" s="40">
        <v>149</v>
      </c>
      <c r="D48" s="40"/>
      <c r="E48" s="40">
        <v>71</v>
      </c>
      <c r="F48" s="40"/>
      <c r="G48" s="40">
        <v>1392</v>
      </c>
      <c r="H48" s="40"/>
      <c r="I48" s="40"/>
      <c r="J48" s="40">
        <v>540</v>
      </c>
      <c r="K48" s="40"/>
      <c r="L48" s="40">
        <v>0.3</v>
      </c>
      <c r="M48" s="40"/>
      <c r="N48" s="94">
        <v>142</v>
      </c>
      <c r="O48" s="40"/>
      <c r="P48" s="40">
        <v>0.83</v>
      </c>
    </row>
    <row r="49" spans="1:16">
      <c r="A49" s="40">
        <v>5.7</v>
      </c>
      <c r="B49" s="40"/>
      <c r="C49" s="40">
        <v>154</v>
      </c>
      <c r="D49" s="40">
        <v>72</v>
      </c>
      <c r="E49" s="40">
        <v>73</v>
      </c>
      <c r="F49" s="40">
        <v>1403</v>
      </c>
      <c r="G49" s="40">
        <v>1394</v>
      </c>
      <c r="H49" s="40"/>
      <c r="I49" s="40">
        <v>624</v>
      </c>
      <c r="J49" s="40">
        <v>598</v>
      </c>
      <c r="K49" s="40"/>
      <c r="L49" s="40">
        <v>0.02</v>
      </c>
      <c r="M49" s="40">
        <v>34</v>
      </c>
      <c r="N49" s="94">
        <v>174</v>
      </c>
      <c r="O49" s="40">
        <v>0.73</v>
      </c>
      <c r="P49" s="40">
        <v>0.26</v>
      </c>
    </row>
    <row r="50" spans="1:16">
      <c r="A50" s="40">
        <v>5.8</v>
      </c>
      <c r="B50" s="40">
        <v>146</v>
      </c>
      <c r="C50" s="40">
        <v>159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94"/>
      <c r="O50" s="40"/>
      <c r="P50" s="40"/>
    </row>
    <row r="51" spans="1:16">
      <c r="A51" s="40">
        <v>5.9</v>
      </c>
      <c r="B51" s="40"/>
      <c r="C51" s="40"/>
      <c r="D51" s="40">
        <v>72</v>
      </c>
      <c r="E51" s="40">
        <v>73</v>
      </c>
      <c r="F51" s="40">
        <v>1408</v>
      </c>
      <c r="G51" s="40">
        <v>1397</v>
      </c>
      <c r="H51" s="40"/>
      <c r="I51" s="40">
        <v>680</v>
      </c>
      <c r="J51" s="40">
        <v>633</v>
      </c>
      <c r="K51" s="40">
        <v>0.62</v>
      </c>
      <c r="L51" s="40">
        <v>0.87</v>
      </c>
      <c r="M51" s="40">
        <v>296</v>
      </c>
      <c r="N51" s="94">
        <v>287</v>
      </c>
      <c r="O51" s="40">
        <v>0.56999999999999995</v>
      </c>
      <c r="P51" s="40">
        <v>0.81</v>
      </c>
    </row>
    <row r="52" spans="1:16">
      <c r="A52" s="40">
        <v>6</v>
      </c>
      <c r="B52" s="40">
        <v>161</v>
      </c>
      <c r="C52" s="40">
        <v>165</v>
      </c>
      <c r="D52" s="40"/>
      <c r="E52" s="40">
        <v>78</v>
      </c>
      <c r="F52" s="40"/>
      <c r="G52" s="40">
        <v>1385</v>
      </c>
      <c r="H52" s="40"/>
      <c r="I52" s="40"/>
      <c r="J52" s="40">
        <v>570</v>
      </c>
      <c r="K52" s="40"/>
      <c r="L52" s="40">
        <v>0.13</v>
      </c>
      <c r="M52" s="40"/>
      <c r="N52" s="94">
        <v>333</v>
      </c>
      <c r="O52" s="40"/>
      <c r="P52" s="40">
        <v>0.3</v>
      </c>
    </row>
    <row r="53" spans="1:16">
      <c r="A53" s="40">
        <v>6.1</v>
      </c>
      <c r="B53" s="40"/>
      <c r="C53" s="40"/>
      <c r="D53" s="40">
        <v>78</v>
      </c>
      <c r="E53" s="40">
        <v>77</v>
      </c>
      <c r="F53" s="40">
        <v>1420</v>
      </c>
      <c r="G53" s="40">
        <v>1387</v>
      </c>
      <c r="H53" s="40"/>
      <c r="I53" s="40">
        <v>616</v>
      </c>
      <c r="J53" s="40">
        <v>600</v>
      </c>
      <c r="K53" s="40">
        <v>2.1800000000000002</v>
      </c>
      <c r="L53" s="40">
        <v>0.28000000000000003</v>
      </c>
      <c r="M53" s="40">
        <v>312</v>
      </c>
      <c r="N53" s="94">
        <v>288</v>
      </c>
      <c r="O53" s="40">
        <v>0.38</v>
      </c>
      <c r="P53" s="40">
        <v>0.34</v>
      </c>
    </row>
    <row r="54" spans="1:16">
      <c r="A54" s="40">
        <v>6.2</v>
      </c>
      <c r="B54" s="40">
        <v>173</v>
      </c>
      <c r="C54" s="40">
        <v>172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94"/>
      <c r="O54" s="40"/>
      <c r="P54" s="40"/>
    </row>
    <row r="55" spans="1:16">
      <c r="A55" s="40">
        <v>6.3</v>
      </c>
      <c r="B55" s="40"/>
      <c r="C55" s="40"/>
      <c r="D55" s="40">
        <v>77</v>
      </c>
      <c r="E55" s="40">
        <v>79</v>
      </c>
      <c r="F55" s="40">
        <v>1396</v>
      </c>
      <c r="G55" s="40">
        <v>1401</v>
      </c>
      <c r="H55" s="40"/>
      <c r="I55" s="40">
        <v>618</v>
      </c>
      <c r="J55" s="40">
        <v>651</v>
      </c>
      <c r="K55" s="40">
        <v>0.24</v>
      </c>
      <c r="L55" s="40">
        <v>0.76</v>
      </c>
      <c r="M55" s="40">
        <v>277</v>
      </c>
      <c r="N55" s="94">
        <v>501</v>
      </c>
      <c r="O55" s="40">
        <v>0.32</v>
      </c>
      <c r="P55" s="40">
        <v>1.29</v>
      </c>
    </row>
    <row r="56" spans="1:16">
      <c r="A56" s="40">
        <v>6.4</v>
      </c>
      <c r="B56" s="40">
        <v>186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94"/>
      <c r="O56" s="40"/>
      <c r="P56" s="40"/>
    </row>
    <row r="57" spans="1:16">
      <c r="A57" s="40">
        <v>6.5</v>
      </c>
      <c r="B57" s="40"/>
      <c r="C57" s="40"/>
      <c r="D57" s="40">
        <v>80</v>
      </c>
      <c r="E57" s="40">
        <v>79</v>
      </c>
      <c r="F57" s="40">
        <v>1419</v>
      </c>
      <c r="G57" s="40">
        <v>1414</v>
      </c>
      <c r="H57" s="40"/>
      <c r="I57" s="40">
        <v>708</v>
      </c>
      <c r="J57" s="40">
        <v>680</v>
      </c>
      <c r="K57" s="40">
        <v>1.26</v>
      </c>
      <c r="L57" s="40">
        <v>0.72</v>
      </c>
      <c r="M57" s="40">
        <v>373</v>
      </c>
      <c r="N57" s="94">
        <v>443</v>
      </c>
      <c r="O57" s="40">
        <v>0.73</v>
      </c>
      <c r="P57" s="40"/>
    </row>
    <row r="58" spans="1:16">
      <c r="A58" s="40">
        <v>6.6</v>
      </c>
      <c r="B58" s="40"/>
      <c r="C58" s="40">
        <v>187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94"/>
      <c r="O58" s="40"/>
      <c r="P58" s="40"/>
    </row>
    <row r="59" spans="1:16">
      <c r="A59" s="40">
        <v>6.7</v>
      </c>
      <c r="B59" s="40"/>
      <c r="C59" s="40"/>
      <c r="D59" s="40">
        <v>85</v>
      </c>
      <c r="E59" s="40"/>
      <c r="F59" s="40">
        <v>1459</v>
      </c>
      <c r="G59" s="40"/>
      <c r="H59" s="40"/>
      <c r="I59" s="40">
        <v>914</v>
      </c>
      <c r="J59" s="40"/>
      <c r="K59" s="40">
        <v>0.46</v>
      </c>
      <c r="L59" s="40"/>
      <c r="M59" s="40">
        <v>118</v>
      </c>
      <c r="N59" s="94"/>
      <c r="O59" s="40">
        <v>0.35</v>
      </c>
      <c r="P59" s="40"/>
    </row>
    <row r="60" spans="1:16">
      <c r="A60" s="40">
        <v>6.8</v>
      </c>
      <c r="B60" s="40"/>
      <c r="C60" s="40"/>
      <c r="D60" s="40"/>
      <c r="E60" s="40">
        <v>85</v>
      </c>
      <c r="F60" s="40"/>
      <c r="G60" s="40">
        <v>1454</v>
      </c>
      <c r="H60" s="40"/>
      <c r="I60" s="40"/>
      <c r="J60" s="40">
        <v>894</v>
      </c>
      <c r="K60" s="40"/>
      <c r="L60" s="40">
        <v>0.09</v>
      </c>
      <c r="M60" s="40"/>
      <c r="N60" s="94">
        <v>107</v>
      </c>
      <c r="O60" s="40"/>
      <c r="P60" s="40">
        <v>0.72</v>
      </c>
    </row>
    <row r="61" spans="1:16">
      <c r="A61" s="40">
        <v>6.9</v>
      </c>
      <c r="B61" s="40">
        <v>203</v>
      </c>
      <c r="C61" s="40">
        <v>194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94"/>
      <c r="O61" s="40"/>
      <c r="P61" s="40"/>
    </row>
    <row r="62" spans="1:16">
      <c r="A62" s="40">
        <v>7</v>
      </c>
      <c r="B62" s="40"/>
      <c r="C62" s="40">
        <v>209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94"/>
      <c r="O62" s="40"/>
      <c r="P62" s="40"/>
    </row>
    <row r="63" spans="1:16">
      <c r="A63" s="40">
        <v>7.1</v>
      </c>
      <c r="B63" s="40">
        <v>200</v>
      </c>
      <c r="C63" s="40">
        <v>187</v>
      </c>
      <c r="D63" s="40">
        <v>91</v>
      </c>
      <c r="E63" s="40">
        <v>87</v>
      </c>
      <c r="F63" s="40">
        <v>1478</v>
      </c>
      <c r="G63" s="40">
        <v>1462</v>
      </c>
      <c r="H63" s="40"/>
      <c r="I63" s="40">
        <v>779</v>
      </c>
      <c r="J63" s="40">
        <v>778</v>
      </c>
      <c r="K63" s="40">
        <v>1.99</v>
      </c>
      <c r="L63" s="40">
        <v>1.08</v>
      </c>
      <c r="M63" s="40">
        <v>316</v>
      </c>
      <c r="N63" s="94">
        <v>285</v>
      </c>
      <c r="O63" s="40">
        <v>0.19</v>
      </c>
      <c r="P63" s="40">
        <v>0.56999999999999995</v>
      </c>
    </row>
    <row r="64" spans="1:16">
      <c r="A64" s="40">
        <v>7.2</v>
      </c>
      <c r="B64" s="40"/>
      <c r="C64" s="40"/>
      <c r="D64" s="40"/>
      <c r="E64" s="40">
        <v>92</v>
      </c>
      <c r="F64" s="40"/>
      <c r="G64" s="40">
        <v>1516</v>
      </c>
      <c r="H64" s="40"/>
      <c r="I64" s="40"/>
      <c r="J64" s="40">
        <v>878</v>
      </c>
      <c r="K64" s="40"/>
      <c r="L64" s="40">
        <v>0.9</v>
      </c>
      <c r="M64" s="40"/>
      <c r="N64" s="94">
        <v>266</v>
      </c>
      <c r="O64" s="40"/>
      <c r="P64" s="40">
        <v>0.78</v>
      </c>
    </row>
    <row r="65" spans="1:16">
      <c r="A65" s="40">
        <v>7.3</v>
      </c>
      <c r="B65" s="40">
        <v>207</v>
      </c>
      <c r="C65" s="40"/>
      <c r="D65" s="40">
        <v>91</v>
      </c>
      <c r="E65" s="40">
        <v>88</v>
      </c>
      <c r="F65" s="40">
        <v>1479</v>
      </c>
      <c r="G65" s="40">
        <v>1459</v>
      </c>
      <c r="H65" s="40"/>
      <c r="I65" s="40">
        <v>833</v>
      </c>
      <c r="J65" s="40">
        <v>942</v>
      </c>
      <c r="K65" s="40">
        <v>0.96</v>
      </c>
      <c r="L65" s="40">
        <v>0.74</v>
      </c>
      <c r="M65" s="40">
        <v>219</v>
      </c>
      <c r="N65" s="94">
        <v>283</v>
      </c>
      <c r="O65" s="40">
        <v>0.57999999999999996</v>
      </c>
      <c r="P65" s="40">
        <v>0.3</v>
      </c>
    </row>
    <row r="66" spans="1:16">
      <c r="A66" s="40">
        <v>7.4</v>
      </c>
      <c r="B66" s="40"/>
      <c r="C66" s="40">
        <v>215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94"/>
      <c r="O66" s="40"/>
      <c r="P66" s="40"/>
    </row>
    <row r="67" spans="1:16">
      <c r="A67" s="40">
        <v>7.5</v>
      </c>
      <c r="B67" s="40"/>
      <c r="C67" s="40"/>
      <c r="D67" s="40">
        <v>91</v>
      </c>
      <c r="E67" s="40"/>
      <c r="F67" s="40">
        <v>1480</v>
      </c>
      <c r="G67" s="40"/>
      <c r="H67" s="40"/>
      <c r="I67" s="40">
        <v>892</v>
      </c>
      <c r="J67" s="40"/>
      <c r="K67" s="40">
        <v>1.22</v>
      </c>
      <c r="L67" s="40"/>
      <c r="M67" s="40">
        <v>322</v>
      </c>
      <c r="N67" s="94"/>
      <c r="O67" s="40">
        <v>0.53</v>
      </c>
      <c r="P67" s="40"/>
    </row>
    <row r="68" spans="1:16">
      <c r="A68" s="40">
        <v>7.6</v>
      </c>
      <c r="B68" s="40"/>
      <c r="C68" s="40">
        <v>211</v>
      </c>
      <c r="D68" s="40"/>
      <c r="E68" s="40">
        <v>92</v>
      </c>
      <c r="F68" s="40"/>
      <c r="G68" s="40">
        <v>1487</v>
      </c>
      <c r="H68" s="40"/>
      <c r="I68" s="40"/>
      <c r="J68" s="40">
        <v>862</v>
      </c>
      <c r="K68" s="40"/>
      <c r="L68" s="40">
        <v>0.62</v>
      </c>
      <c r="M68" s="40"/>
      <c r="N68" s="94">
        <v>354</v>
      </c>
      <c r="O68" s="40"/>
      <c r="P68" s="40">
        <v>0.54</v>
      </c>
    </row>
    <row r="69" spans="1:16">
      <c r="A69" s="40">
        <v>7.8</v>
      </c>
      <c r="B69" s="40"/>
      <c r="C69" s="40"/>
      <c r="D69" s="40"/>
      <c r="E69" s="40">
        <v>96</v>
      </c>
      <c r="F69" s="40"/>
      <c r="G69" s="40">
        <v>1516</v>
      </c>
      <c r="H69" s="40"/>
      <c r="I69" s="40"/>
      <c r="J69" s="40">
        <v>1093</v>
      </c>
      <c r="K69" s="40"/>
      <c r="L69" s="40">
        <v>0.6</v>
      </c>
      <c r="M69" s="40"/>
      <c r="N69" s="94">
        <v>179</v>
      </c>
      <c r="O69" s="40"/>
      <c r="P69" s="40">
        <v>0.36</v>
      </c>
    </row>
    <row r="70" spans="1:16">
      <c r="A70" s="40">
        <v>7.9</v>
      </c>
      <c r="B70" s="40">
        <v>201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94"/>
      <c r="O70" s="40"/>
      <c r="P70" s="40"/>
    </row>
    <row r="71" spans="1:16">
      <c r="A71" s="40">
        <v>8.1</v>
      </c>
      <c r="B71" s="40"/>
      <c r="C71" s="40"/>
      <c r="D71" s="40">
        <v>95</v>
      </c>
      <c r="E71" s="40"/>
      <c r="F71" s="40">
        <v>1509</v>
      </c>
      <c r="G71" s="40"/>
      <c r="H71" s="40"/>
      <c r="I71" s="40">
        <v>1045</v>
      </c>
      <c r="J71" s="40"/>
      <c r="K71" s="40">
        <v>1.26</v>
      </c>
      <c r="L71" s="40"/>
      <c r="M71" s="40">
        <v>218</v>
      </c>
      <c r="N71" s="94"/>
      <c r="O71" s="40">
        <v>0.51</v>
      </c>
      <c r="P71" s="40"/>
    </row>
    <row r="72" spans="1:16">
      <c r="A72" s="40">
        <v>8.3000000000000007</v>
      </c>
      <c r="B72" s="40"/>
      <c r="C72" s="40">
        <v>222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94"/>
      <c r="O72" s="40"/>
      <c r="P72" s="40"/>
    </row>
    <row r="73" spans="1:16">
      <c r="A73" s="40">
        <v>8.4</v>
      </c>
      <c r="B73" s="40">
        <v>219</v>
      </c>
      <c r="C73" s="40"/>
      <c r="D73" s="40"/>
      <c r="E73" s="40">
        <v>95</v>
      </c>
      <c r="F73" s="40"/>
      <c r="G73" s="40">
        <v>1538</v>
      </c>
      <c r="H73" s="40"/>
      <c r="I73" s="40"/>
      <c r="J73" s="40">
        <v>1308</v>
      </c>
      <c r="K73" s="40"/>
      <c r="L73" s="40">
        <v>0.23</v>
      </c>
      <c r="M73" s="40"/>
      <c r="N73" s="94">
        <v>437</v>
      </c>
      <c r="O73" s="40"/>
      <c r="P73" s="40">
        <v>0.6</v>
      </c>
    </row>
    <row r="74" spans="1:16">
      <c r="A74" s="40">
        <v>8.5</v>
      </c>
      <c r="B74" s="40"/>
      <c r="C74" s="40"/>
      <c r="D74" s="40">
        <v>97</v>
      </c>
      <c r="E74" s="40"/>
      <c r="F74" s="40">
        <v>1522</v>
      </c>
      <c r="G74" s="40"/>
      <c r="H74" s="40"/>
      <c r="I74" s="40">
        <v>1260</v>
      </c>
      <c r="J74" s="40"/>
      <c r="K74" s="40">
        <v>0.74</v>
      </c>
      <c r="L74" s="40"/>
      <c r="M74" s="40">
        <v>391</v>
      </c>
      <c r="N74" s="94"/>
      <c r="O74" s="40">
        <v>0.74</v>
      </c>
      <c r="P74" s="40"/>
    </row>
    <row r="75" spans="1:16">
      <c r="A75" s="40">
        <v>8.9</v>
      </c>
      <c r="B75" s="40"/>
      <c r="C75" s="40">
        <v>215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94"/>
      <c r="O75" s="40"/>
      <c r="P75" s="40"/>
    </row>
    <row r="76" spans="1:16">
      <c r="A76" s="40">
        <v>9</v>
      </c>
      <c r="B76" s="40"/>
      <c r="C76" s="40"/>
      <c r="D76" s="40"/>
      <c r="E76" s="40">
        <v>97</v>
      </c>
      <c r="F76" s="40"/>
      <c r="G76" s="40">
        <v>1546</v>
      </c>
      <c r="H76" s="40"/>
      <c r="I76" s="40"/>
      <c r="J76" s="40">
        <v>1258</v>
      </c>
      <c r="K76" s="40"/>
      <c r="L76" s="40">
        <v>0.38</v>
      </c>
      <c r="M76" s="40"/>
      <c r="N76" s="94">
        <v>324</v>
      </c>
      <c r="O76" s="40"/>
      <c r="P76" s="40">
        <v>0.26</v>
      </c>
    </row>
    <row r="77" spans="1:16">
      <c r="A77" s="40">
        <v>9.4</v>
      </c>
      <c r="B77" s="40">
        <v>193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94"/>
      <c r="O77" s="40"/>
      <c r="P77" s="40"/>
    </row>
    <row r="78" spans="1:16">
      <c r="A78" s="40">
        <v>9.5</v>
      </c>
      <c r="B78" s="40"/>
      <c r="C78" s="40"/>
      <c r="D78" s="40">
        <v>95</v>
      </c>
      <c r="E78" s="40"/>
      <c r="F78" s="40">
        <v>1520</v>
      </c>
      <c r="G78" s="40"/>
      <c r="H78" s="40"/>
      <c r="I78" s="40">
        <v>1146</v>
      </c>
      <c r="J78" s="40"/>
      <c r="K78" s="40">
        <v>0.46</v>
      </c>
      <c r="L78" s="40"/>
      <c r="M78" s="40">
        <v>287</v>
      </c>
      <c r="N78" s="94"/>
      <c r="O78" s="40">
        <v>0.32</v>
      </c>
      <c r="P78" s="40"/>
    </row>
    <row r="80" spans="1:16">
      <c r="A80" s="14"/>
    </row>
    <row r="81" spans="1:24" s="11" customFormat="1">
      <c r="L81" s="34"/>
    </row>
    <row r="82" spans="1:24" s="12" customFormat="1" ht="15" customHeight="1">
      <c r="A82" s="99"/>
      <c r="B82" s="99"/>
      <c r="C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100"/>
      <c r="X82" s="100"/>
    </row>
    <row r="83" spans="1:24" s="12" customFormat="1">
      <c r="A83" s="99"/>
      <c r="B83" s="99"/>
      <c r="C83" s="99"/>
    </row>
    <row r="84" spans="1:24">
      <c r="A84" s="1"/>
      <c r="B84" s="1"/>
    </row>
    <row r="85" spans="1:24">
      <c r="A85" s="1"/>
      <c r="B85" s="1"/>
    </row>
    <row r="86" spans="1:24">
      <c r="A86" s="1"/>
      <c r="B86" s="1"/>
    </row>
    <row r="87" spans="1:24">
      <c r="A87" s="1"/>
      <c r="B87" s="1"/>
    </row>
    <row r="88" spans="1:24">
      <c r="A88" s="1"/>
      <c r="B88" s="1"/>
    </row>
    <row r="89" spans="1:24">
      <c r="A89" s="1"/>
      <c r="B89" s="1"/>
    </row>
    <row r="90" spans="1:24">
      <c r="A90" s="1"/>
      <c r="B90" s="1"/>
    </row>
    <row r="91" spans="1:24">
      <c r="A91" s="1"/>
      <c r="B91" s="1"/>
    </row>
    <row r="92" spans="1:24">
      <c r="A92" s="1"/>
      <c r="B92" s="1"/>
    </row>
    <row r="93" spans="1:24">
      <c r="A93" s="1"/>
      <c r="B93" s="1"/>
    </row>
    <row r="94" spans="1:24">
      <c r="A94" s="1"/>
      <c r="B94" s="1"/>
    </row>
    <row r="95" spans="1:24">
      <c r="A95" s="1"/>
      <c r="B95" s="1"/>
    </row>
    <row r="96" spans="1:24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</sheetData>
  <mergeCells count="30">
    <mergeCell ref="AE5:AE6"/>
    <mergeCell ref="AE8:AE25"/>
    <mergeCell ref="D29:E29"/>
    <mergeCell ref="F29:G29"/>
    <mergeCell ref="I29:J29"/>
    <mergeCell ref="L5:L6"/>
    <mergeCell ref="K29:L29"/>
    <mergeCell ref="M29:N29"/>
    <mergeCell ref="O29:P29"/>
    <mergeCell ref="F5:F6"/>
    <mergeCell ref="G5:G6"/>
    <mergeCell ref="I5:I6"/>
    <mergeCell ref="J5:J6"/>
    <mergeCell ref="K5:K6"/>
    <mergeCell ref="U5:V5"/>
    <mergeCell ref="W5:X5"/>
    <mergeCell ref="Y5:Z5"/>
    <mergeCell ref="AA5:AB5"/>
    <mergeCell ref="AC5:AD5"/>
    <mergeCell ref="P5:R5"/>
    <mergeCell ref="B29:C29"/>
    <mergeCell ref="S5:T5"/>
    <mergeCell ref="A29:A30"/>
    <mergeCell ref="A5:A6"/>
    <mergeCell ref="B5:B6"/>
    <mergeCell ref="C5:C6"/>
    <mergeCell ref="M5:O5"/>
    <mergeCell ref="D5:D6"/>
    <mergeCell ref="E5:E6"/>
    <mergeCell ref="H5:H6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44B5-6B10-4E0B-A88D-0CA5342FD638}">
  <dimension ref="A1:AO139"/>
  <sheetViews>
    <sheetView topLeftCell="AC1" zoomScale="69" zoomScaleNormal="43" workbookViewId="0">
      <pane ySplit="1" topLeftCell="A2" activePane="bottomLeft" state="frozen"/>
      <selection activeCell="Q1" sqref="Q1"/>
      <selection pane="bottomLeft" activeCell="A35" sqref="A35"/>
    </sheetView>
  </sheetViews>
  <sheetFormatPr defaultColWidth="9" defaultRowHeight="14.5"/>
  <cols>
    <col min="1" max="1" width="29.7265625" style="7" customWidth="1"/>
    <col min="2" max="2" width="29.7265625" style="3" customWidth="1"/>
    <col min="3" max="3" width="29.7265625" style="9" customWidth="1"/>
    <col min="4" max="4" width="21.26953125" style="4" customWidth="1"/>
    <col min="5" max="7" width="18.08984375" style="35" customWidth="1"/>
    <col min="8" max="11" width="16.90625" style="35" customWidth="1"/>
    <col min="12" max="13" width="9" style="35"/>
    <col min="14" max="15" width="15.453125" style="35" customWidth="1"/>
    <col min="16" max="16" width="9" style="35"/>
    <col min="17" max="20" width="11.08984375" style="35" customWidth="1"/>
    <col min="21" max="34" width="9" style="35"/>
    <col min="35" max="35" width="21.26953125" style="35" customWidth="1"/>
    <col min="36" max="36" width="20.7265625" style="36" customWidth="1"/>
    <col min="37" max="38" width="9" style="3"/>
    <col min="39" max="39" width="20.7265625" style="3" customWidth="1"/>
    <col min="40" max="40" width="9" style="3"/>
    <col min="41" max="41" width="20.7265625" style="3" customWidth="1"/>
    <col min="42" max="16384" width="9" style="3"/>
  </cols>
  <sheetData>
    <row r="1" spans="1:41" ht="72.5">
      <c r="A1" s="5" t="s">
        <v>0</v>
      </c>
      <c r="B1" s="6" t="s">
        <v>243</v>
      </c>
      <c r="C1" s="6" t="s">
        <v>244</v>
      </c>
      <c r="D1" s="6" t="s">
        <v>98</v>
      </c>
      <c r="E1" s="6" t="s">
        <v>187</v>
      </c>
      <c r="F1" s="6" t="s">
        <v>245</v>
      </c>
      <c r="G1" s="6" t="s">
        <v>246</v>
      </c>
      <c r="H1" s="6" t="s">
        <v>247</v>
      </c>
      <c r="I1" s="6" t="s">
        <v>248</v>
      </c>
      <c r="J1" s="6" t="s">
        <v>249</v>
      </c>
      <c r="K1" s="6" t="s">
        <v>250</v>
      </c>
      <c r="L1" s="6" t="s">
        <v>14</v>
      </c>
      <c r="M1" s="6" t="s">
        <v>16</v>
      </c>
      <c r="N1" s="6" t="s">
        <v>18</v>
      </c>
      <c r="O1" s="6" t="s">
        <v>251</v>
      </c>
      <c r="P1" s="6" t="s">
        <v>19</v>
      </c>
      <c r="Q1" s="6" t="s">
        <v>20</v>
      </c>
      <c r="R1" s="6" t="s">
        <v>252</v>
      </c>
      <c r="S1" s="6" t="s">
        <v>253</v>
      </c>
      <c r="T1" s="6" t="s">
        <v>254</v>
      </c>
      <c r="U1" s="6" t="s">
        <v>21</v>
      </c>
      <c r="V1" s="6" t="s">
        <v>255</v>
      </c>
      <c r="W1" s="6" t="s">
        <v>256</v>
      </c>
      <c r="X1" s="6" t="s">
        <v>257</v>
      </c>
      <c r="Y1" s="87" t="s">
        <v>22</v>
      </c>
      <c r="Z1" s="87" t="s">
        <v>258</v>
      </c>
      <c r="AA1" s="87" t="s">
        <v>259</v>
      </c>
      <c r="AB1" s="87" t="s">
        <v>260</v>
      </c>
      <c r="AC1" s="87" t="s">
        <v>261</v>
      </c>
      <c r="AD1" s="87" t="s">
        <v>262</v>
      </c>
      <c r="AE1" s="87" t="s">
        <v>263</v>
      </c>
      <c r="AF1" s="87" t="s">
        <v>264</v>
      </c>
      <c r="AG1" s="87" t="s">
        <v>24</v>
      </c>
      <c r="AH1" s="87" t="s">
        <v>25</v>
      </c>
      <c r="AI1" s="87" t="s">
        <v>265</v>
      </c>
      <c r="AJ1" s="6" t="s">
        <v>26</v>
      </c>
    </row>
    <row r="2" spans="1:41" ht="58">
      <c r="A2" s="45" t="s">
        <v>266</v>
      </c>
      <c r="B2" s="46" t="s">
        <v>267</v>
      </c>
      <c r="C2" s="47" t="s">
        <v>268</v>
      </c>
      <c r="D2" s="46" t="s">
        <v>269</v>
      </c>
      <c r="E2" s="46">
        <v>542</v>
      </c>
      <c r="F2" s="46"/>
      <c r="G2" s="46"/>
      <c r="H2" s="46"/>
      <c r="I2" s="46">
        <v>834.5</v>
      </c>
      <c r="J2" s="46"/>
      <c r="K2" s="46"/>
      <c r="L2" s="46">
        <v>43.14</v>
      </c>
      <c r="M2" s="46">
        <v>51.7</v>
      </c>
      <c r="N2" s="46" t="s">
        <v>270</v>
      </c>
      <c r="O2" s="46">
        <v>0</v>
      </c>
      <c r="P2" s="46">
        <v>1200</v>
      </c>
      <c r="Q2" s="46">
        <v>450</v>
      </c>
      <c r="R2" s="46">
        <v>4</v>
      </c>
      <c r="S2" s="46">
        <v>7.5</v>
      </c>
      <c r="T2" s="46"/>
      <c r="U2" s="46">
        <v>6.7</v>
      </c>
      <c r="V2" s="46">
        <v>739</v>
      </c>
      <c r="W2" s="46">
        <v>34.840000000000003</v>
      </c>
      <c r="X2" s="46"/>
      <c r="Y2" s="92"/>
      <c r="Z2" s="92"/>
      <c r="AA2" s="92"/>
      <c r="AB2" s="92"/>
      <c r="AC2" s="46">
        <v>182.6</v>
      </c>
      <c r="AD2" s="46">
        <v>362.6</v>
      </c>
      <c r="AE2" s="92"/>
      <c r="AF2" s="92"/>
      <c r="AG2" s="92"/>
      <c r="AH2" s="92"/>
      <c r="AI2" s="92"/>
      <c r="AJ2" s="48"/>
      <c r="AL2" s="90"/>
      <c r="AM2" s="238" t="s">
        <v>271</v>
      </c>
      <c r="AN2" s="91"/>
      <c r="AO2" s="238" t="s">
        <v>272</v>
      </c>
    </row>
    <row r="3" spans="1:41" ht="58">
      <c r="A3" s="45" t="s">
        <v>266</v>
      </c>
      <c r="B3" s="46" t="s">
        <v>273</v>
      </c>
      <c r="C3" s="47" t="s">
        <v>274</v>
      </c>
      <c r="D3" s="18" t="s">
        <v>275</v>
      </c>
      <c r="E3" s="46">
        <v>600.29999999999995</v>
      </c>
      <c r="F3" s="46">
        <v>252.94</v>
      </c>
      <c r="G3" s="46"/>
      <c r="H3" s="46"/>
      <c r="I3" s="46">
        <v>845.1</v>
      </c>
      <c r="J3" s="46"/>
      <c r="K3" s="46">
        <v>2.6379999999999999</v>
      </c>
      <c r="L3" s="46">
        <v>37.42</v>
      </c>
      <c r="M3" s="46">
        <v>62.3</v>
      </c>
      <c r="N3" s="46" t="s">
        <v>270</v>
      </c>
      <c r="O3" s="46">
        <v>0</v>
      </c>
      <c r="P3" s="46">
        <v>1200</v>
      </c>
      <c r="Q3" s="46">
        <v>450</v>
      </c>
      <c r="R3" s="46">
        <v>4</v>
      </c>
      <c r="S3" s="46">
        <v>7.5</v>
      </c>
      <c r="T3" s="46"/>
      <c r="U3" s="46">
        <v>3.7</v>
      </c>
      <c r="V3" s="46">
        <v>747</v>
      </c>
      <c r="W3" s="46">
        <v>35.409999999999997</v>
      </c>
      <c r="X3" s="46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48"/>
      <c r="AL3" s="37"/>
      <c r="AM3" s="238"/>
      <c r="AN3" s="43"/>
      <c r="AO3" s="238"/>
    </row>
    <row r="4" spans="1:41" ht="58">
      <c r="A4" s="45" t="s">
        <v>266</v>
      </c>
      <c r="B4" s="46" t="s">
        <v>276</v>
      </c>
      <c r="C4" s="47" t="s">
        <v>274</v>
      </c>
      <c r="D4" s="18" t="s">
        <v>275</v>
      </c>
      <c r="E4" s="46">
        <v>601.79999999999995</v>
      </c>
      <c r="F4" s="46">
        <v>310.81</v>
      </c>
      <c r="G4" s="46"/>
      <c r="H4" s="46"/>
      <c r="I4" s="46">
        <v>835.3</v>
      </c>
      <c r="J4" s="46"/>
      <c r="K4" s="46">
        <v>3.2252000000000001</v>
      </c>
      <c r="L4" s="46">
        <v>37.64</v>
      </c>
      <c r="M4" s="46">
        <v>88.9</v>
      </c>
      <c r="N4" s="46" t="s">
        <v>270</v>
      </c>
      <c r="O4" s="46">
        <v>0</v>
      </c>
      <c r="P4" s="46">
        <v>1200</v>
      </c>
      <c r="Q4" s="46">
        <v>450</v>
      </c>
      <c r="R4" s="46">
        <v>4</v>
      </c>
      <c r="S4" s="46">
        <v>7.5</v>
      </c>
      <c r="T4" s="46"/>
      <c r="U4" s="46">
        <v>6.1</v>
      </c>
      <c r="V4" s="46">
        <v>820</v>
      </c>
      <c r="W4" s="46">
        <v>34.29</v>
      </c>
      <c r="X4" s="46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48"/>
      <c r="AL4" s="38"/>
      <c r="AM4" s="238"/>
      <c r="AN4" s="44"/>
      <c r="AO4" s="238"/>
    </row>
    <row r="5" spans="1:41" ht="58">
      <c r="A5" s="45" t="s">
        <v>266</v>
      </c>
      <c r="B5" s="46" t="s">
        <v>277</v>
      </c>
      <c r="C5" s="47" t="s">
        <v>274</v>
      </c>
      <c r="D5" s="18" t="s">
        <v>275</v>
      </c>
      <c r="E5" s="46">
        <v>611.5</v>
      </c>
      <c r="F5" s="46">
        <v>306.13</v>
      </c>
      <c r="G5" s="46"/>
      <c r="H5" s="46"/>
      <c r="I5" s="46">
        <v>830.3</v>
      </c>
      <c r="J5" s="46"/>
      <c r="K5" s="46">
        <v>3.3073000000000001</v>
      </c>
      <c r="L5" s="46">
        <v>37.79</v>
      </c>
      <c r="M5" s="46">
        <v>86.83</v>
      </c>
      <c r="N5" s="46" t="s">
        <v>270</v>
      </c>
      <c r="O5" s="46">
        <v>0</v>
      </c>
      <c r="P5" s="46">
        <v>1200</v>
      </c>
      <c r="Q5" s="46">
        <v>450</v>
      </c>
      <c r="R5" s="46">
        <v>4</v>
      </c>
      <c r="S5" s="46">
        <v>7.5</v>
      </c>
      <c r="T5" s="46"/>
      <c r="U5" s="46">
        <v>4.4000000000000004</v>
      </c>
      <c r="V5" s="46">
        <v>816</v>
      </c>
      <c r="W5" s="46">
        <v>35.159999999999997</v>
      </c>
      <c r="X5" s="46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48"/>
    </row>
    <row r="6" spans="1:41" ht="58">
      <c r="A6" s="45" t="s">
        <v>266</v>
      </c>
      <c r="B6" s="46" t="s">
        <v>278</v>
      </c>
      <c r="C6" s="47" t="s">
        <v>274</v>
      </c>
      <c r="D6" s="18" t="s">
        <v>275</v>
      </c>
      <c r="E6" s="46">
        <v>620.79999999999995</v>
      </c>
      <c r="F6" s="46">
        <v>301.25</v>
      </c>
      <c r="G6" s="46"/>
      <c r="H6" s="46"/>
      <c r="I6" s="46">
        <v>829.6</v>
      </c>
      <c r="J6" s="46"/>
      <c r="K6" s="46">
        <v>4.4059999999999997</v>
      </c>
      <c r="L6" s="46">
        <v>37.72</v>
      </c>
      <c r="M6" s="46">
        <v>80.400000000000006</v>
      </c>
      <c r="N6" s="46" t="s">
        <v>270</v>
      </c>
      <c r="O6" s="46">
        <v>0</v>
      </c>
      <c r="P6" s="46">
        <v>1200</v>
      </c>
      <c r="Q6" s="46">
        <v>450</v>
      </c>
      <c r="R6" s="46">
        <v>4</v>
      </c>
      <c r="S6" s="46">
        <v>7.5</v>
      </c>
      <c r="T6" s="46"/>
      <c r="U6" s="46">
        <v>4.3</v>
      </c>
      <c r="V6" s="46">
        <v>804</v>
      </c>
      <c r="W6" s="46">
        <v>35.31</v>
      </c>
      <c r="X6" s="46"/>
      <c r="Y6" s="92"/>
      <c r="Z6" s="92"/>
      <c r="AA6" s="92"/>
      <c r="AB6" s="92"/>
      <c r="AC6" s="92"/>
      <c r="AD6" s="92"/>
      <c r="AE6" s="92"/>
      <c r="AF6" s="93"/>
      <c r="AG6" s="93"/>
      <c r="AH6" s="93"/>
      <c r="AI6" s="93"/>
      <c r="AJ6" s="48"/>
      <c r="AL6" s="88"/>
      <c r="AM6" s="3" t="s">
        <v>279</v>
      </c>
    </row>
    <row r="7" spans="1:41" ht="58">
      <c r="A7" s="45" t="s">
        <v>266</v>
      </c>
      <c r="B7" s="46" t="s">
        <v>280</v>
      </c>
      <c r="C7" s="47" t="s">
        <v>274</v>
      </c>
      <c r="D7" s="18" t="s">
        <v>275</v>
      </c>
      <c r="E7" s="46">
        <v>629.6</v>
      </c>
      <c r="F7" s="46">
        <v>298.77999999999997</v>
      </c>
      <c r="G7" s="46"/>
      <c r="H7" s="46"/>
      <c r="I7" s="46"/>
      <c r="J7" s="46"/>
      <c r="K7" s="46"/>
      <c r="L7" s="46">
        <v>38.4</v>
      </c>
      <c r="M7" s="46">
        <v>86.3</v>
      </c>
      <c r="N7" s="46" t="s">
        <v>270</v>
      </c>
      <c r="O7" s="46">
        <v>0</v>
      </c>
      <c r="P7" s="46">
        <v>1200</v>
      </c>
      <c r="Q7" s="46">
        <v>450</v>
      </c>
      <c r="R7" s="46">
        <v>4</v>
      </c>
      <c r="S7" s="46">
        <v>7.5</v>
      </c>
      <c r="T7" s="46"/>
      <c r="U7" s="46">
        <v>4.5</v>
      </c>
      <c r="V7" s="46">
        <v>816</v>
      </c>
      <c r="W7" s="46">
        <v>35.35</v>
      </c>
      <c r="X7" s="46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48"/>
      <c r="AL7" s="89"/>
      <c r="AM7" s="4" t="s">
        <v>281</v>
      </c>
    </row>
    <row r="8" spans="1:41" ht="58">
      <c r="A8" s="45" t="s">
        <v>266</v>
      </c>
      <c r="B8" s="46" t="s">
        <v>282</v>
      </c>
      <c r="C8" s="47" t="s">
        <v>274</v>
      </c>
      <c r="D8" s="18" t="s">
        <v>275</v>
      </c>
      <c r="E8" s="46">
        <v>616.1</v>
      </c>
      <c r="F8" s="46">
        <v>301.55</v>
      </c>
      <c r="G8" s="46"/>
      <c r="H8" s="46"/>
      <c r="I8" s="46">
        <v>824.4</v>
      </c>
      <c r="J8" s="46"/>
      <c r="K8" s="46">
        <v>4.3550000000000004</v>
      </c>
      <c r="L8" s="46">
        <v>37.96</v>
      </c>
      <c r="M8" s="46">
        <v>96.5</v>
      </c>
      <c r="N8" s="46" t="s">
        <v>270</v>
      </c>
      <c r="O8" s="46">
        <v>0</v>
      </c>
      <c r="P8" s="46">
        <v>1200</v>
      </c>
      <c r="Q8" s="46">
        <v>450</v>
      </c>
      <c r="R8" s="46">
        <v>4</v>
      </c>
      <c r="S8" s="46">
        <v>7.5</v>
      </c>
      <c r="T8" s="46"/>
      <c r="U8" s="46">
        <v>4.5</v>
      </c>
      <c r="V8" s="46">
        <v>843</v>
      </c>
      <c r="W8" s="46">
        <v>34.9</v>
      </c>
      <c r="X8" s="46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48"/>
    </row>
    <row r="9" spans="1:41" ht="58">
      <c r="A9" s="45" t="s">
        <v>266</v>
      </c>
      <c r="B9" s="46" t="s">
        <v>283</v>
      </c>
      <c r="C9" s="47" t="s">
        <v>274</v>
      </c>
      <c r="D9" s="18" t="s">
        <v>275</v>
      </c>
      <c r="E9" s="46">
        <v>625.20000000000005</v>
      </c>
      <c r="F9" s="46">
        <v>302.89999999999998</v>
      </c>
      <c r="G9" s="46"/>
      <c r="H9" s="46"/>
      <c r="I9" s="46"/>
      <c r="J9" s="46"/>
      <c r="K9" s="46"/>
      <c r="L9" s="46">
        <v>38.06</v>
      </c>
      <c r="M9" s="46">
        <v>99.3</v>
      </c>
      <c r="N9" s="46" t="s">
        <v>270</v>
      </c>
      <c r="O9" s="46">
        <v>0</v>
      </c>
      <c r="P9" s="46">
        <v>1200</v>
      </c>
      <c r="Q9" s="46">
        <v>450</v>
      </c>
      <c r="R9" s="46">
        <v>4</v>
      </c>
      <c r="S9" s="46">
        <v>7.5</v>
      </c>
      <c r="T9" s="46"/>
      <c r="U9" s="46">
        <v>4.5</v>
      </c>
      <c r="V9" s="46">
        <v>847</v>
      </c>
      <c r="W9" s="46">
        <v>35.26</v>
      </c>
      <c r="X9" s="46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48"/>
    </row>
    <row r="10" spans="1:41" ht="58">
      <c r="A10" s="45" t="s">
        <v>266</v>
      </c>
      <c r="B10" s="46" t="s">
        <v>284</v>
      </c>
      <c r="C10" s="47" t="s">
        <v>274</v>
      </c>
      <c r="D10" s="18" t="s">
        <v>275</v>
      </c>
      <c r="E10" s="46">
        <v>622.5</v>
      </c>
      <c r="F10" s="46">
        <v>305.05</v>
      </c>
      <c r="G10" s="46"/>
      <c r="H10" s="46"/>
      <c r="I10" s="46"/>
      <c r="J10" s="46"/>
      <c r="K10" s="46"/>
      <c r="L10" s="46">
        <v>38.1</v>
      </c>
      <c r="M10" s="46"/>
      <c r="N10" s="46" t="s">
        <v>270</v>
      </c>
      <c r="O10" s="46">
        <v>0</v>
      </c>
      <c r="P10" s="46">
        <v>1200</v>
      </c>
      <c r="Q10" s="46">
        <v>450</v>
      </c>
      <c r="R10" s="46">
        <v>4</v>
      </c>
      <c r="S10" s="46">
        <v>7.5</v>
      </c>
      <c r="T10" s="46"/>
      <c r="U10" s="46">
        <v>4.5</v>
      </c>
      <c r="V10" s="46">
        <v>820</v>
      </c>
      <c r="W10" s="46">
        <v>35.53</v>
      </c>
      <c r="X10" s="46"/>
      <c r="Y10" s="92"/>
      <c r="Z10" s="92"/>
      <c r="AA10" s="92"/>
      <c r="AB10" s="92"/>
      <c r="AC10" s="46">
        <v>76</v>
      </c>
      <c r="AD10" s="46">
        <v>360.4</v>
      </c>
      <c r="AE10" s="92"/>
      <c r="AF10" s="92"/>
      <c r="AG10" s="92"/>
      <c r="AH10" s="92"/>
      <c r="AI10" s="92"/>
      <c r="AJ10" s="48"/>
    </row>
    <row r="11" spans="1:41" ht="58">
      <c r="A11" s="45" t="s">
        <v>266</v>
      </c>
      <c r="B11" s="18" t="s">
        <v>222</v>
      </c>
      <c r="C11" s="47" t="s">
        <v>268</v>
      </c>
      <c r="D11" s="18" t="s">
        <v>285</v>
      </c>
      <c r="E11" s="46">
        <v>589.29999999999995</v>
      </c>
      <c r="F11" s="46">
        <v>301.64999999999998</v>
      </c>
      <c r="G11" s="46"/>
      <c r="H11" s="46"/>
      <c r="I11" s="46">
        <v>755.8</v>
      </c>
      <c r="J11" s="46"/>
      <c r="K11" s="46">
        <v>2.0619999999999998</v>
      </c>
      <c r="L11" s="46">
        <v>43.9</v>
      </c>
      <c r="M11" s="46">
        <v>106.3</v>
      </c>
      <c r="N11" s="46" t="s">
        <v>270</v>
      </c>
      <c r="O11" s="46">
        <v>0</v>
      </c>
      <c r="P11" s="46">
        <v>1200</v>
      </c>
      <c r="Q11" s="46">
        <v>450</v>
      </c>
      <c r="R11" s="46">
        <v>4</v>
      </c>
      <c r="S11" s="46">
        <v>7.5</v>
      </c>
      <c r="T11" s="46"/>
      <c r="U11" s="46">
        <v>4.9000000000000004</v>
      </c>
      <c r="V11" s="46">
        <v>862</v>
      </c>
      <c r="W11" s="46">
        <v>34.82</v>
      </c>
      <c r="X11" s="46"/>
      <c r="Y11" s="92"/>
      <c r="Z11" s="92"/>
      <c r="AA11" s="92"/>
      <c r="AB11" s="92"/>
      <c r="AC11" s="46">
        <v>60.8</v>
      </c>
      <c r="AD11" s="92"/>
      <c r="AE11" s="92"/>
      <c r="AF11" s="46">
        <v>503.9</v>
      </c>
      <c r="AG11" s="92"/>
      <c r="AH11" s="92"/>
      <c r="AI11" s="46">
        <v>0.21</v>
      </c>
      <c r="AJ11" s="48"/>
      <c r="AK11" s="4"/>
    </row>
    <row r="12" spans="1:41" ht="58">
      <c r="A12" s="45" t="s">
        <v>266</v>
      </c>
      <c r="B12" s="18" t="s">
        <v>267</v>
      </c>
      <c r="C12" s="47" t="s">
        <v>268</v>
      </c>
      <c r="D12" s="18" t="s">
        <v>269</v>
      </c>
      <c r="E12" s="46">
        <v>542</v>
      </c>
      <c r="F12" s="46"/>
      <c r="G12" s="46"/>
      <c r="H12" s="46"/>
      <c r="I12" s="46">
        <v>834.5</v>
      </c>
      <c r="J12" s="46"/>
      <c r="K12" s="46"/>
      <c r="L12" s="46">
        <v>43.14</v>
      </c>
      <c r="M12" s="46">
        <v>51.7</v>
      </c>
      <c r="N12" s="46" t="s">
        <v>270</v>
      </c>
      <c r="O12" s="46">
        <v>15322</v>
      </c>
      <c r="P12" s="46">
        <v>1200</v>
      </c>
      <c r="Q12" s="46">
        <v>450</v>
      </c>
      <c r="R12" s="46">
        <v>4</v>
      </c>
      <c r="S12" s="46">
        <v>7.5</v>
      </c>
      <c r="T12" s="46"/>
      <c r="U12" s="46">
        <v>4.7</v>
      </c>
      <c r="V12" s="46">
        <v>725</v>
      </c>
      <c r="W12" s="46">
        <v>33.74</v>
      </c>
      <c r="X12" s="46"/>
      <c r="Y12" s="92"/>
      <c r="Z12" s="92"/>
      <c r="AA12" s="92"/>
      <c r="AB12" s="92"/>
      <c r="AC12" s="46">
        <v>90</v>
      </c>
      <c r="AD12" s="92"/>
      <c r="AE12" s="92"/>
      <c r="AF12" s="46">
        <v>457.1</v>
      </c>
      <c r="AG12" s="92"/>
      <c r="AH12" s="92"/>
      <c r="AI12" s="46">
        <v>0.2</v>
      </c>
      <c r="AJ12" s="48"/>
      <c r="AK12" s="4"/>
    </row>
    <row r="13" spans="1:41" ht="58">
      <c r="A13" s="45" t="s">
        <v>266</v>
      </c>
      <c r="B13" s="46" t="s">
        <v>273</v>
      </c>
      <c r="C13" s="47" t="s">
        <v>274</v>
      </c>
      <c r="D13" s="18" t="s">
        <v>275</v>
      </c>
      <c r="E13" s="46">
        <v>600.29999999999995</v>
      </c>
      <c r="F13" s="46">
        <v>252.94</v>
      </c>
      <c r="G13" s="46"/>
      <c r="H13" s="46"/>
      <c r="I13" s="46">
        <v>845.1</v>
      </c>
      <c r="J13" s="46"/>
      <c r="K13" s="46">
        <v>2.6379999999999999</v>
      </c>
      <c r="L13" s="46">
        <v>37.42</v>
      </c>
      <c r="M13" s="46">
        <v>62.3</v>
      </c>
      <c r="N13" s="46" t="s">
        <v>270</v>
      </c>
      <c r="O13" s="46">
        <v>11338</v>
      </c>
      <c r="P13" s="46">
        <v>1200</v>
      </c>
      <c r="Q13" s="46">
        <v>450</v>
      </c>
      <c r="R13" s="46">
        <v>4</v>
      </c>
      <c r="S13" s="46">
        <v>7.5</v>
      </c>
      <c r="T13" s="46"/>
      <c r="U13" s="46">
        <v>4.5</v>
      </c>
      <c r="V13" s="46">
        <v>804</v>
      </c>
      <c r="W13" s="46">
        <v>34.58</v>
      </c>
      <c r="X13" s="46"/>
      <c r="Y13" s="92"/>
      <c r="Z13" s="92"/>
      <c r="AA13" s="92"/>
      <c r="AB13" s="92"/>
      <c r="AC13" s="46">
        <v>67.8</v>
      </c>
      <c r="AD13" s="92"/>
      <c r="AE13" s="92"/>
      <c r="AF13" s="46">
        <v>506.7</v>
      </c>
      <c r="AG13" s="92"/>
      <c r="AH13" s="92"/>
      <c r="AI13" s="46">
        <v>0.14000000000000001</v>
      </c>
      <c r="AJ13" s="48"/>
      <c r="AK13" s="4"/>
    </row>
    <row r="14" spans="1:41" ht="58">
      <c r="A14" s="45" t="s">
        <v>266</v>
      </c>
      <c r="B14" s="46" t="s">
        <v>276</v>
      </c>
      <c r="C14" s="47" t="s">
        <v>274</v>
      </c>
      <c r="D14" s="18" t="s">
        <v>275</v>
      </c>
      <c r="E14" s="46">
        <v>601.79999999999995</v>
      </c>
      <c r="F14" s="46">
        <v>310.81</v>
      </c>
      <c r="G14" s="46"/>
      <c r="H14" s="46"/>
      <c r="I14" s="46">
        <v>835.3</v>
      </c>
      <c r="J14" s="46"/>
      <c r="K14" s="46">
        <v>3.2252000000000001</v>
      </c>
      <c r="L14" s="46">
        <v>37.64</v>
      </c>
      <c r="M14" s="46">
        <v>88.9</v>
      </c>
      <c r="N14" s="46" t="s">
        <v>270</v>
      </c>
      <c r="O14" s="46">
        <v>3717</v>
      </c>
      <c r="P14" s="46">
        <v>1200</v>
      </c>
      <c r="Q14" s="46">
        <v>450</v>
      </c>
      <c r="R14" s="46">
        <v>4</v>
      </c>
      <c r="S14" s="46">
        <v>7.5</v>
      </c>
      <c r="T14" s="46"/>
      <c r="U14" s="46">
        <v>3.7</v>
      </c>
      <c r="V14" s="46">
        <v>840</v>
      </c>
      <c r="W14" s="46">
        <v>35.979999999999997</v>
      </c>
      <c r="X14" s="46"/>
      <c r="Y14" s="92"/>
      <c r="Z14" s="92"/>
      <c r="AA14" s="92"/>
      <c r="AB14" s="92"/>
      <c r="AC14" s="46">
        <v>67.3</v>
      </c>
      <c r="AD14" s="92"/>
      <c r="AE14" s="92"/>
      <c r="AF14" s="46">
        <v>444.7</v>
      </c>
      <c r="AG14" s="92"/>
      <c r="AH14" s="92"/>
      <c r="AI14" s="46">
        <v>0.14000000000000001</v>
      </c>
      <c r="AJ14" s="48"/>
      <c r="AK14" s="4"/>
    </row>
    <row r="15" spans="1:41" ht="58">
      <c r="A15" s="45" t="s">
        <v>266</v>
      </c>
      <c r="B15" s="46" t="s">
        <v>284</v>
      </c>
      <c r="C15" s="47" t="s">
        <v>274</v>
      </c>
      <c r="D15" s="18" t="s">
        <v>275</v>
      </c>
      <c r="E15" s="46">
        <v>622.5</v>
      </c>
      <c r="F15" s="46">
        <v>305.05</v>
      </c>
      <c r="G15" s="46"/>
      <c r="H15" s="46"/>
      <c r="I15" s="46"/>
      <c r="J15" s="46"/>
      <c r="K15" s="46"/>
      <c r="L15" s="46">
        <v>38.1</v>
      </c>
      <c r="M15" s="46"/>
      <c r="N15" s="46" t="s">
        <v>270</v>
      </c>
      <c r="O15" s="46">
        <v>3425</v>
      </c>
      <c r="P15" s="46">
        <v>1200</v>
      </c>
      <c r="Q15" s="46">
        <v>450</v>
      </c>
      <c r="R15" s="46">
        <v>4</v>
      </c>
      <c r="S15" s="46">
        <v>7.5</v>
      </c>
      <c r="T15" s="46"/>
      <c r="U15" s="46">
        <v>4.3</v>
      </c>
      <c r="V15" s="46">
        <v>886</v>
      </c>
      <c r="W15" s="46">
        <v>35.15</v>
      </c>
      <c r="X15" s="46"/>
      <c r="Y15" s="92"/>
      <c r="Z15" s="92"/>
      <c r="AA15" s="92"/>
      <c r="AB15" s="92"/>
      <c r="AC15" s="46">
        <v>47.9</v>
      </c>
      <c r="AD15" s="46">
        <v>359.6</v>
      </c>
      <c r="AE15" s="92"/>
      <c r="AF15" s="92"/>
      <c r="AG15" s="92"/>
      <c r="AH15" s="92"/>
      <c r="AI15" s="92"/>
      <c r="AJ15" s="48"/>
      <c r="AK15" s="4"/>
    </row>
    <row r="16" spans="1:41" ht="58">
      <c r="A16" s="49" t="s">
        <v>266</v>
      </c>
      <c r="B16" s="50" t="s">
        <v>267</v>
      </c>
      <c r="C16" s="51" t="s">
        <v>268</v>
      </c>
      <c r="D16" s="50" t="s">
        <v>269</v>
      </c>
      <c r="E16" s="50">
        <v>542</v>
      </c>
      <c r="F16" s="50"/>
      <c r="G16" s="50"/>
      <c r="H16" s="50"/>
      <c r="I16" s="50">
        <v>834.5</v>
      </c>
      <c r="J16" s="50"/>
      <c r="K16" s="50"/>
      <c r="L16" s="50">
        <v>43.14</v>
      </c>
      <c r="M16" s="50">
        <v>51.7</v>
      </c>
      <c r="N16" s="50" t="s">
        <v>270</v>
      </c>
      <c r="O16" s="50">
        <v>0</v>
      </c>
      <c r="P16" s="50">
        <v>1200</v>
      </c>
      <c r="Q16" s="50">
        <v>450</v>
      </c>
      <c r="R16" s="50">
        <v>4</v>
      </c>
      <c r="S16" s="50"/>
      <c r="T16" s="50">
        <v>0</v>
      </c>
      <c r="U16" s="50">
        <v>6.6</v>
      </c>
      <c r="V16" s="50">
        <v>740</v>
      </c>
      <c r="W16" s="50">
        <v>34.5</v>
      </c>
      <c r="X16" s="50"/>
      <c r="Y16" s="92"/>
      <c r="Z16" s="92"/>
      <c r="AA16" s="92"/>
      <c r="AB16" s="92"/>
      <c r="AC16" s="50">
        <v>178.5</v>
      </c>
      <c r="AD16" s="50">
        <v>362.9</v>
      </c>
      <c r="AE16" s="92"/>
      <c r="AF16" s="92"/>
      <c r="AG16" s="92"/>
      <c r="AH16" s="92"/>
      <c r="AI16" s="92"/>
      <c r="AJ16" s="52"/>
      <c r="AK16" s="4"/>
    </row>
    <row r="17" spans="1:36" ht="58">
      <c r="A17" s="49" t="s">
        <v>266</v>
      </c>
      <c r="B17" s="50" t="s">
        <v>273</v>
      </c>
      <c r="C17" s="51" t="s">
        <v>274</v>
      </c>
      <c r="D17" s="53" t="s">
        <v>275</v>
      </c>
      <c r="E17" s="50">
        <v>600.29999999999995</v>
      </c>
      <c r="F17" s="50">
        <v>252.94</v>
      </c>
      <c r="G17" s="50"/>
      <c r="H17" s="50"/>
      <c r="I17" s="50">
        <v>845.1</v>
      </c>
      <c r="J17" s="50"/>
      <c r="K17" s="50">
        <v>2.6379999999999999</v>
      </c>
      <c r="L17" s="50">
        <v>37.42</v>
      </c>
      <c r="M17" s="50">
        <v>62.3</v>
      </c>
      <c r="N17" s="50" t="s">
        <v>270</v>
      </c>
      <c r="O17" s="50">
        <v>0</v>
      </c>
      <c r="P17" s="50">
        <v>1200</v>
      </c>
      <c r="Q17" s="50">
        <v>450</v>
      </c>
      <c r="R17" s="50">
        <v>4</v>
      </c>
      <c r="S17" s="50"/>
      <c r="T17" s="50">
        <v>0</v>
      </c>
      <c r="U17" s="50">
        <v>3.6</v>
      </c>
      <c r="V17" s="50">
        <v>747</v>
      </c>
      <c r="W17" s="50">
        <v>35.270000000000003</v>
      </c>
      <c r="X17" s="50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52"/>
    </row>
    <row r="18" spans="1:36" ht="58">
      <c r="A18" s="49" t="s">
        <v>266</v>
      </c>
      <c r="B18" s="50" t="s">
        <v>276</v>
      </c>
      <c r="C18" s="51" t="s">
        <v>274</v>
      </c>
      <c r="D18" s="53" t="s">
        <v>275</v>
      </c>
      <c r="E18" s="50">
        <v>601.79999999999995</v>
      </c>
      <c r="F18" s="50">
        <v>310.81</v>
      </c>
      <c r="G18" s="50"/>
      <c r="H18" s="50"/>
      <c r="I18" s="50">
        <v>835.3</v>
      </c>
      <c r="J18" s="50"/>
      <c r="K18" s="50">
        <v>3.2252000000000001</v>
      </c>
      <c r="L18" s="50">
        <v>37.64</v>
      </c>
      <c r="M18" s="50">
        <v>88.9</v>
      </c>
      <c r="N18" s="50" t="s">
        <v>270</v>
      </c>
      <c r="O18" s="50">
        <v>0</v>
      </c>
      <c r="P18" s="50">
        <v>1200</v>
      </c>
      <c r="Q18" s="50">
        <v>450</v>
      </c>
      <c r="R18" s="50">
        <v>4</v>
      </c>
      <c r="S18" s="50"/>
      <c r="T18" s="50">
        <v>0</v>
      </c>
      <c r="U18" s="50">
        <v>5.9</v>
      </c>
      <c r="V18" s="50">
        <v>823</v>
      </c>
      <c r="W18" s="50">
        <v>34.07</v>
      </c>
      <c r="X18" s="50"/>
      <c r="Y18" s="92"/>
      <c r="Z18" s="92"/>
      <c r="AA18" s="92"/>
      <c r="AB18" s="92"/>
      <c r="AC18" s="50">
        <v>80.3</v>
      </c>
      <c r="AD18" s="50">
        <v>362.4</v>
      </c>
      <c r="AE18" s="92"/>
      <c r="AF18" s="92"/>
      <c r="AG18" s="92"/>
      <c r="AH18" s="92"/>
      <c r="AI18" s="92"/>
      <c r="AJ18" s="52"/>
    </row>
    <row r="19" spans="1:36" ht="58">
      <c r="A19" s="49" t="s">
        <v>266</v>
      </c>
      <c r="B19" s="50" t="s">
        <v>277</v>
      </c>
      <c r="C19" s="51" t="s">
        <v>274</v>
      </c>
      <c r="D19" s="53" t="s">
        <v>275</v>
      </c>
      <c r="E19" s="50">
        <v>611.5</v>
      </c>
      <c r="F19" s="50">
        <v>306.13</v>
      </c>
      <c r="G19" s="50"/>
      <c r="H19" s="50"/>
      <c r="I19" s="50">
        <v>830.3</v>
      </c>
      <c r="J19" s="50"/>
      <c r="K19" s="50">
        <v>3.3073000000000001</v>
      </c>
      <c r="L19" s="50">
        <v>37.79</v>
      </c>
      <c r="M19" s="50">
        <v>86.83</v>
      </c>
      <c r="N19" s="50" t="s">
        <v>270</v>
      </c>
      <c r="O19" s="50">
        <v>0</v>
      </c>
      <c r="P19" s="50">
        <v>1200</v>
      </c>
      <c r="Q19" s="50">
        <v>450</v>
      </c>
      <c r="R19" s="50">
        <v>4</v>
      </c>
      <c r="S19" s="50"/>
      <c r="T19" s="50">
        <v>0</v>
      </c>
      <c r="U19" s="50">
        <v>4.3</v>
      </c>
      <c r="V19" s="50">
        <v>815</v>
      </c>
      <c r="W19" s="50">
        <v>35.04</v>
      </c>
      <c r="X19" s="50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52"/>
    </row>
    <row r="20" spans="1:36" ht="58">
      <c r="A20" s="49" t="s">
        <v>266</v>
      </c>
      <c r="B20" s="50" t="s">
        <v>278</v>
      </c>
      <c r="C20" s="51" t="s">
        <v>274</v>
      </c>
      <c r="D20" s="53" t="s">
        <v>275</v>
      </c>
      <c r="E20" s="50">
        <v>620.79999999999995</v>
      </c>
      <c r="F20" s="50">
        <v>301.25</v>
      </c>
      <c r="G20" s="50"/>
      <c r="H20" s="50"/>
      <c r="I20" s="50">
        <v>829.6</v>
      </c>
      <c r="J20" s="50"/>
      <c r="K20" s="50">
        <v>4.4059999999999997</v>
      </c>
      <c r="L20" s="50">
        <v>37.72</v>
      </c>
      <c r="M20" s="50">
        <v>80.400000000000006</v>
      </c>
      <c r="N20" s="50" t="s">
        <v>270</v>
      </c>
      <c r="O20" s="50">
        <v>0</v>
      </c>
      <c r="P20" s="50">
        <v>1200</v>
      </c>
      <c r="Q20" s="50">
        <v>450</v>
      </c>
      <c r="R20" s="50">
        <v>4</v>
      </c>
      <c r="S20" s="50"/>
      <c r="T20" s="50">
        <v>0</v>
      </c>
      <c r="U20" s="50">
        <v>4.3</v>
      </c>
      <c r="V20" s="50">
        <v>801</v>
      </c>
      <c r="W20" s="50">
        <v>34.68</v>
      </c>
      <c r="X20" s="50"/>
      <c r="Y20" s="92"/>
      <c r="Z20" s="92"/>
      <c r="AA20" s="92"/>
      <c r="AB20" s="92"/>
      <c r="AC20" s="92"/>
      <c r="AD20" s="92"/>
      <c r="AE20" s="92"/>
      <c r="AF20" s="93"/>
      <c r="AG20" s="93"/>
      <c r="AH20" s="93"/>
      <c r="AI20" s="93"/>
      <c r="AJ20" s="52"/>
    </row>
    <row r="21" spans="1:36" ht="58">
      <c r="A21" s="49" t="s">
        <v>266</v>
      </c>
      <c r="B21" s="50" t="s">
        <v>280</v>
      </c>
      <c r="C21" s="51" t="s">
        <v>274</v>
      </c>
      <c r="D21" s="53" t="s">
        <v>275</v>
      </c>
      <c r="E21" s="50">
        <v>629.6</v>
      </c>
      <c r="F21" s="50">
        <v>298.77999999999997</v>
      </c>
      <c r="G21" s="50"/>
      <c r="H21" s="50"/>
      <c r="I21" s="50"/>
      <c r="J21" s="50"/>
      <c r="K21" s="50"/>
      <c r="L21" s="50">
        <v>38.4</v>
      </c>
      <c r="M21" s="50">
        <v>86.3</v>
      </c>
      <c r="N21" s="50" t="s">
        <v>270</v>
      </c>
      <c r="O21" s="50">
        <v>0</v>
      </c>
      <c r="P21" s="50">
        <v>1200</v>
      </c>
      <c r="Q21" s="50">
        <v>450</v>
      </c>
      <c r="R21" s="50">
        <v>4</v>
      </c>
      <c r="S21" s="50"/>
      <c r="T21" s="50">
        <v>0</v>
      </c>
      <c r="U21" s="50">
        <v>4.3</v>
      </c>
      <c r="V21" s="50">
        <v>817</v>
      </c>
      <c r="W21" s="50">
        <v>34.9</v>
      </c>
      <c r="X21" s="50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52"/>
    </row>
    <row r="22" spans="1:36" ht="58">
      <c r="A22" s="49" t="s">
        <v>266</v>
      </c>
      <c r="B22" s="50" t="s">
        <v>282</v>
      </c>
      <c r="C22" s="51" t="s">
        <v>274</v>
      </c>
      <c r="D22" s="53" t="s">
        <v>275</v>
      </c>
      <c r="E22" s="50">
        <v>616.1</v>
      </c>
      <c r="F22" s="50">
        <v>301.55</v>
      </c>
      <c r="G22" s="50"/>
      <c r="H22" s="50"/>
      <c r="I22" s="50">
        <v>824.4</v>
      </c>
      <c r="J22" s="50"/>
      <c r="K22" s="50">
        <v>4.3550000000000004</v>
      </c>
      <c r="L22" s="50">
        <v>37.96</v>
      </c>
      <c r="M22" s="50">
        <v>96.5</v>
      </c>
      <c r="N22" s="50" t="s">
        <v>270</v>
      </c>
      <c r="O22" s="50">
        <v>0</v>
      </c>
      <c r="P22" s="50">
        <v>1200</v>
      </c>
      <c r="Q22" s="50">
        <v>450</v>
      </c>
      <c r="R22" s="50">
        <v>4</v>
      </c>
      <c r="S22" s="50"/>
      <c r="T22" s="50">
        <v>0</v>
      </c>
      <c r="U22" s="50">
        <v>4.4000000000000004</v>
      </c>
      <c r="V22" s="50">
        <v>848</v>
      </c>
      <c r="W22" s="50">
        <v>34.26</v>
      </c>
      <c r="X22" s="50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52"/>
    </row>
    <row r="23" spans="1:36" ht="58">
      <c r="A23" s="49" t="s">
        <v>266</v>
      </c>
      <c r="B23" s="50" t="s">
        <v>283</v>
      </c>
      <c r="C23" s="51" t="s">
        <v>274</v>
      </c>
      <c r="D23" s="53" t="s">
        <v>275</v>
      </c>
      <c r="E23" s="50">
        <v>625.20000000000005</v>
      </c>
      <c r="F23" s="50">
        <v>302.89999999999998</v>
      </c>
      <c r="G23" s="50"/>
      <c r="H23" s="50"/>
      <c r="I23" s="50"/>
      <c r="J23" s="50"/>
      <c r="K23" s="50"/>
      <c r="L23" s="50">
        <v>38.06</v>
      </c>
      <c r="M23" s="50">
        <v>99.3</v>
      </c>
      <c r="N23" s="50" t="s">
        <v>270</v>
      </c>
      <c r="O23" s="50">
        <v>0</v>
      </c>
      <c r="P23" s="50">
        <v>1200</v>
      </c>
      <c r="Q23" s="50">
        <v>450</v>
      </c>
      <c r="R23" s="50">
        <v>4</v>
      </c>
      <c r="S23" s="50"/>
      <c r="T23" s="50">
        <v>0</v>
      </c>
      <c r="U23" s="50">
        <v>4.4000000000000004</v>
      </c>
      <c r="V23" s="50">
        <v>864</v>
      </c>
      <c r="W23" s="50">
        <v>34.96</v>
      </c>
      <c r="X23" s="50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52"/>
    </row>
    <row r="24" spans="1:36" ht="58">
      <c r="A24" s="49" t="s">
        <v>266</v>
      </c>
      <c r="B24" s="50" t="s">
        <v>284</v>
      </c>
      <c r="C24" s="51" t="s">
        <v>274</v>
      </c>
      <c r="D24" s="53" t="s">
        <v>275</v>
      </c>
      <c r="E24" s="50">
        <v>622.5</v>
      </c>
      <c r="F24" s="50">
        <v>305.05</v>
      </c>
      <c r="G24" s="50"/>
      <c r="H24" s="50"/>
      <c r="I24" s="50"/>
      <c r="J24" s="50"/>
      <c r="K24" s="50"/>
      <c r="L24" s="50">
        <v>38.1</v>
      </c>
      <c r="M24" s="50"/>
      <c r="N24" s="50" t="s">
        <v>270</v>
      </c>
      <c r="O24" s="50">
        <v>0</v>
      </c>
      <c r="P24" s="50">
        <v>1200</v>
      </c>
      <c r="Q24" s="50">
        <v>450</v>
      </c>
      <c r="R24" s="50">
        <v>4</v>
      </c>
      <c r="S24" s="50"/>
      <c r="T24" s="50">
        <v>0</v>
      </c>
      <c r="U24" s="50">
        <v>4.3</v>
      </c>
      <c r="V24" s="50">
        <v>829</v>
      </c>
      <c r="W24" s="50">
        <v>34.880000000000003</v>
      </c>
      <c r="X24" s="50"/>
      <c r="Y24" s="92"/>
      <c r="Z24" s="92"/>
      <c r="AA24" s="92"/>
      <c r="AB24" s="92"/>
      <c r="AC24" s="50">
        <v>77.2</v>
      </c>
      <c r="AD24" s="50">
        <v>363</v>
      </c>
      <c r="AE24" s="92"/>
      <c r="AF24" s="92"/>
      <c r="AG24" s="92"/>
      <c r="AH24" s="92"/>
      <c r="AI24" s="92"/>
      <c r="AJ24" s="52"/>
    </row>
    <row r="25" spans="1:36" ht="58">
      <c r="A25" s="49" t="s">
        <v>266</v>
      </c>
      <c r="B25" s="53" t="s">
        <v>222</v>
      </c>
      <c r="C25" s="51" t="s">
        <v>268</v>
      </c>
      <c r="D25" s="53" t="s">
        <v>285</v>
      </c>
      <c r="E25" s="50">
        <v>589.29999999999995</v>
      </c>
      <c r="F25" s="50">
        <v>301.64999999999998</v>
      </c>
      <c r="G25" s="50"/>
      <c r="H25" s="50"/>
      <c r="I25" s="50">
        <v>755.8</v>
      </c>
      <c r="J25" s="50"/>
      <c r="K25" s="50">
        <v>2.0619999999999998</v>
      </c>
      <c r="L25" s="50">
        <v>43.9</v>
      </c>
      <c r="M25" s="50">
        <v>106.3</v>
      </c>
      <c r="N25" s="50" t="s">
        <v>270</v>
      </c>
      <c r="O25" s="50">
        <v>0</v>
      </c>
      <c r="P25" s="50">
        <v>1200</v>
      </c>
      <c r="Q25" s="50">
        <v>450</v>
      </c>
      <c r="R25" s="50">
        <v>4</v>
      </c>
      <c r="S25" s="50"/>
      <c r="T25" s="50">
        <v>0</v>
      </c>
      <c r="U25" s="50">
        <v>4.7</v>
      </c>
      <c r="V25" s="50">
        <v>854</v>
      </c>
      <c r="W25" s="50">
        <v>34.54</v>
      </c>
      <c r="X25" s="50"/>
      <c r="Y25" s="92"/>
      <c r="Z25" s="92"/>
      <c r="AA25" s="92"/>
      <c r="AB25" s="92"/>
      <c r="AC25" s="50">
        <v>74.599999999999994</v>
      </c>
      <c r="AD25" s="92"/>
      <c r="AE25" s="92"/>
      <c r="AF25" s="50">
        <v>345.6</v>
      </c>
      <c r="AG25" s="92"/>
      <c r="AH25" s="92"/>
      <c r="AI25" s="50">
        <v>0.36</v>
      </c>
      <c r="AJ25" s="52"/>
    </row>
    <row r="26" spans="1:36" ht="58">
      <c r="A26" s="49" t="s">
        <v>266</v>
      </c>
      <c r="B26" s="53" t="s">
        <v>267</v>
      </c>
      <c r="C26" s="51" t="s">
        <v>268</v>
      </c>
      <c r="D26" s="53" t="s">
        <v>269</v>
      </c>
      <c r="E26" s="50">
        <v>542</v>
      </c>
      <c r="F26" s="50"/>
      <c r="G26" s="50"/>
      <c r="H26" s="50"/>
      <c r="I26" s="50">
        <v>834.5</v>
      </c>
      <c r="J26" s="50"/>
      <c r="K26" s="50"/>
      <c r="L26" s="50">
        <v>43.14</v>
      </c>
      <c r="M26" s="50">
        <v>51.7</v>
      </c>
      <c r="N26" s="50" t="s">
        <v>270</v>
      </c>
      <c r="O26" s="50">
        <v>15322</v>
      </c>
      <c r="P26" s="50">
        <v>1200</v>
      </c>
      <c r="Q26" s="50">
        <v>450</v>
      </c>
      <c r="R26" s="50">
        <v>4</v>
      </c>
      <c r="S26" s="50"/>
      <c r="T26" s="50">
        <v>0</v>
      </c>
      <c r="U26" s="50">
        <v>4.4000000000000004</v>
      </c>
      <c r="V26" s="50">
        <v>723</v>
      </c>
      <c r="W26" s="50">
        <v>33.700000000000003</v>
      </c>
      <c r="X26" s="50"/>
      <c r="Y26" s="92"/>
      <c r="Z26" s="92"/>
      <c r="AA26" s="92"/>
      <c r="AB26" s="92"/>
      <c r="AC26" s="50">
        <v>106.6</v>
      </c>
      <c r="AD26" s="92"/>
      <c r="AE26" s="92"/>
      <c r="AF26" s="50">
        <v>442</v>
      </c>
      <c r="AG26" s="92"/>
      <c r="AH26" s="92"/>
      <c r="AI26" s="50">
        <v>0.39</v>
      </c>
      <c r="AJ26" s="52"/>
    </row>
    <row r="27" spans="1:36" ht="58">
      <c r="A27" s="49" t="s">
        <v>266</v>
      </c>
      <c r="B27" s="50" t="s">
        <v>273</v>
      </c>
      <c r="C27" s="51" t="s">
        <v>274</v>
      </c>
      <c r="D27" s="53" t="s">
        <v>275</v>
      </c>
      <c r="E27" s="50">
        <v>600.29999999999995</v>
      </c>
      <c r="F27" s="50">
        <v>252.94</v>
      </c>
      <c r="G27" s="50"/>
      <c r="H27" s="50"/>
      <c r="I27" s="50">
        <v>845.1</v>
      </c>
      <c r="J27" s="50"/>
      <c r="K27" s="50">
        <v>2.6379999999999999</v>
      </c>
      <c r="L27" s="50">
        <v>37.42</v>
      </c>
      <c r="M27" s="50">
        <v>62.3</v>
      </c>
      <c r="N27" s="50" t="s">
        <v>270</v>
      </c>
      <c r="O27" s="50">
        <v>11338</v>
      </c>
      <c r="P27" s="50">
        <v>1200</v>
      </c>
      <c r="Q27" s="50">
        <v>450</v>
      </c>
      <c r="R27" s="50">
        <v>4</v>
      </c>
      <c r="S27" s="50"/>
      <c r="T27" s="50">
        <v>0</v>
      </c>
      <c r="U27" s="50">
        <v>4.4000000000000004</v>
      </c>
      <c r="V27" s="50">
        <v>805</v>
      </c>
      <c r="W27" s="50">
        <v>34.229999999999997</v>
      </c>
      <c r="X27" s="50"/>
      <c r="Y27" s="92"/>
      <c r="Z27" s="92"/>
      <c r="AA27" s="92"/>
      <c r="AB27" s="92"/>
      <c r="AC27" s="50">
        <v>80.900000000000006</v>
      </c>
      <c r="AD27" s="92"/>
      <c r="AE27" s="92"/>
      <c r="AF27" s="50">
        <v>388.3</v>
      </c>
      <c r="AG27" s="92"/>
      <c r="AH27" s="92"/>
      <c r="AI27" s="50">
        <v>0.34</v>
      </c>
      <c r="AJ27" s="52"/>
    </row>
    <row r="28" spans="1:36" ht="58">
      <c r="A28" s="49" t="s">
        <v>266</v>
      </c>
      <c r="B28" s="50" t="s">
        <v>276</v>
      </c>
      <c r="C28" s="51" t="s">
        <v>274</v>
      </c>
      <c r="D28" s="53" t="s">
        <v>275</v>
      </c>
      <c r="E28" s="50">
        <v>601.79999999999995</v>
      </c>
      <c r="F28" s="50">
        <v>310.81</v>
      </c>
      <c r="G28" s="50"/>
      <c r="H28" s="50"/>
      <c r="I28" s="50">
        <v>835.3</v>
      </c>
      <c r="J28" s="50"/>
      <c r="K28" s="50">
        <v>3.2252000000000001</v>
      </c>
      <c r="L28" s="50">
        <v>37.64</v>
      </c>
      <c r="M28" s="50">
        <v>88.9</v>
      </c>
      <c r="N28" s="50" t="s">
        <v>270</v>
      </c>
      <c r="O28" s="50">
        <v>3717</v>
      </c>
      <c r="P28" s="50">
        <v>1200</v>
      </c>
      <c r="Q28" s="50">
        <v>450</v>
      </c>
      <c r="R28" s="50">
        <v>4</v>
      </c>
      <c r="S28" s="50"/>
      <c r="T28" s="50">
        <v>0</v>
      </c>
      <c r="U28" s="50">
        <v>3.7</v>
      </c>
      <c r="V28" s="50">
        <v>838</v>
      </c>
      <c r="W28" s="50">
        <v>36.21</v>
      </c>
      <c r="X28" s="50"/>
      <c r="Y28" s="92"/>
      <c r="Z28" s="92"/>
      <c r="AA28" s="92"/>
      <c r="AB28" s="92"/>
      <c r="AC28" s="50">
        <v>80.599999999999994</v>
      </c>
      <c r="AD28" s="92"/>
      <c r="AE28" s="92"/>
      <c r="AF28" s="50">
        <v>345</v>
      </c>
      <c r="AG28" s="92"/>
      <c r="AH28" s="92"/>
      <c r="AI28" s="50">
        <v>0.28999999999999998</v>
      </c>
      <c r="AJ28" s="52"/>
    </row>
    <row r="29" spans="1:36" ht="58">
      <c r="A29" s="49" t="s">
        <v>266</v>
      </c>
      <c r="B29" s="50" t="s">
        <v>284</v>
      </c>
      <c r="C29" s="51" t="s">
        <v>274</v>
      </c>
      <c r="D29" s="53" t="s">
        <v>275</v>
      </c>
      <c r="E29" s="50">
        <v>622.5</v>
      </c>
      <c r="F29" s="50">
        <v>305.05</v>
      </c>
      <c r="G29" s="50"/>
      <c r="H29" s="50"/>
      <c r="I29" s="50"/>
      <c r="J29" s="50"/>
      <c r="K29" s="50"/>
      <c r="L29" s="50">
        <v>38.1</v>
      </c>
      <c r="M29" s="50"/>
      <c r="N29" s="50" t="s">
        <v>270</v>
      </c>
      <c r="O29" s="50">
        <v>3425</v>
      </c>
      <c r="P29" s="50">
        <v>1200</v>
      </c>
      <c r="Q29" s="50">
        <v>450</v>
      </c>
      <c r="R29" s="50">
        <v>4</v>
      </c>
      <c r="S29" s="50"/>
      <c r="T29" s="50">
        <v>0</v>
      </c>
      <c r="U29" s="50">
        <v>4.2</v>
      </c>
      <c r="V29" s="50">
        <v>898</v>
      </c>
      <c r="W29" s="50">
        <v>34.9</v>
      </c>
      <c r="X29" s="50"/>
      <c r="Y29" s="92"/>
      <c r="Z29" s="92"/>
      <c r="AA29" s="92"/>
      <c r="AB29" s="92"/>
      <c r="AC29" s="50">
        <v>57</v>
      </c>
      <c r="AD29" s="50">
        <v>362.6</v>
      </c>
      <c r="AE29" s="92"/>
      <c r="AF29" s="92"/>
      <c r="AG29" s="92"/>
      <c r="AH29" s="92"/>
      <c r="AI29" s="92"/>
      <c r="AJ29" s="52"/>
    </row>
    <row r="30" spans="1:36" ht="58">
      <c r="A30" s="54" t="s">
        <v>286</v>
      </c>
      <c r="B30" s="55" t="s">
        <v>267</v>
      </c>
      <c r="C30" s="56" t="s">
        <v>268</v>
      </c>
      <c r="D30" s="26" t="s">
        <v>269</v>
      </c>
      <c r="E30" s="57">
        <v>542.20000000000005</v>
      </c>
      <c r="F30" s="57"/>
      <c r="G30" s="57"/>
      <c r="H30" s="57">
        <v>834.5</v>
      </c>
      <c r="I30" s="57"/>
      <c r="J30" s="57">
        <v>3.42</v>
      </c>
      <c r="K30" s="57">
        <v>1.75</v>
      </c>
      <c r="L30" s="57"/>
      <c r="M30" s="57"/>
      <c r="N30" s="58" t="s">
        <v>270</v>
      </c>
      <c r="O30" s="58">
        <v>0</v>
      </c>
      <c r="P30" s="58">
        <v>1200</v>
      </c>
      <c r="Q30" s="58">
        <v>700</v>
      </c>
      <c r="R30" s="58">
        <v>4</v>
      </c>
      <c r="S30" s="58">
        <v>7.5</v>
      </c>
      <c r="T30" s="58"/>
      <c r="U30" s="57">
        <v>5</v>
      </c>
      <c r="V30" s="57">
        <v>589</v>
      </c>
      <c r="W30" s="57"/>
      <c r="X30" s="57"/>
      <c r="Y30" s="104"/>
      <c r="Z30" s="104"/>
      <c r="AA30" s="57"/>
      <c r="AB30" s="57"/>
      <c r="AC30" s="57">
        <v>175.7</v>
      </c>
      <c r="AD30" s="57"/>
      <c r="AE30" s="104"/>
      <c r="AF30" s="58">
        <v>1223.5</v>
      </c>
      <c r="AG30" s="58">
        <v>233</v>
      </c>
      <c r="AH30" s="58">
        <v>128.69999999999999</v>
      </c>
      <c r="AI30" s="92"/>
      <c r="AJ30" s="84"/>
    </row>
    <row r="31" spans="1:36" ht="58">
      <c r="A31" s="54" t="s">
        <v>287</v>
      </c>
      <c r="B31" s="55" t="s">
        <v>288</v>
      </c>
      <c r="C31" s="56" t="s">
        <v>274</v>
      </c>
      <c r="D31" s="26" t="s">
        <v>289</v>
      </c>
      <c r="E31" s="57">
        <v>503.6</v>
      </c>
      <c r="F31" s="57">
        <v>258.2</v>
      </c>
      <c r="G31" s="57"/>
      <c r="H31" s="57">
        <v>880.1</v>
      </c>
      <c r="I31" s="57"/>
      <c r="J31" s="57">
        <v>8.2799999999999994</v>
      </c>
      <c r="K31" s="57">
        <v>2.85</v>
      </c>
      <c r="L31" s="57"/>
      <c r="M31" s="57"/>
      <c r="N31" s="58" t="s">
        <v>270</v>
      </c>
      <c r="O31" s="58">
        <v>0</v>
      </c>
      <c r="P31" s="58">
        <v>1200</v>
      </c>
      <c r="Q31" s="58">
        <v>700</v>
      </c>
      <c r="R31" s="58">
        <v>4</v>
      </c>
      <c r="S31" s="58">
        <v>7.5</v>
      </c>
      <c r="T31" s="58"/>
      <c r="U31" s="57">
        <v>9.5</v>
      </c>
      <c r="V31" s="57">
        <v>597</v>
      </c>
      <c r="W31" s="57"/>
      <c r="X31" s="57"/>
      <c r="Y31" s="104"/>
      <c r="Z31" s="104"/>
      <c r="AA31" s="57"/>
      <c r="AB31" s="57"/>
      <c r="AC31" s="57">
        <v>87.2</v>
      </c>
      <c r="AD31" s="57"/>
      <c r="AE31" s="104"/>
      <c r="AF31" s="58">
        <v>1143</v>
      </c>
      <c r="AG31" s="58">
        <v>727.3</v>
      </c>
      <c r="AH31" s="58">
        <v>341</v>
      </c>
      <c r="AI31" s="92"/>
      <c r="AJ31" s="84"/>
    </row>
    <row r="32" spans="1:36" ht="58">
      <c r="A32" s="54" t="s">
        <v>287</v>
      </c>
      <c r="B32" s="55" t="s">
        <v>290</v>
      </c>
      <c r="C32" s="56" t="s">
        <v>274</v>
      </c>
      <c r="D32" s="26" t="s">
        <v>289</v>
      </c>
      <c r="E32" s="57">
        <v>499.4</v>
      </c>
      <c r="F32" s="57"/>
      <c r="G32" s="57"/>
      <c r="H32" s="57">
        <v>876</v>
      </c>
      <c r="I32" s="57"/>
      <c r="J32" s="57">
        <v>7.19</v>
      </c>
      <c r="K32" s="57">
        <v>2.52</v>
      </c>
      <c r="L32" s="57"/>
      <c r="M32" s="57"/>
      <c r="N32" s="58" t="s">
        <v>270</v>
      </c>
      <c r="O32" s="58">
        <v>0</v>
      </c>
      <c r="P32" s="58">
        <v>1200</v>
      </c>
      <c r="Q32" s="58">
        <v>700</v>
      </c>
      <c r="R32" s="58">
        <v>4</v>
      </c>
      <c r="S32" s="58">
        <v>7.5</v>
      </c>
      <c r="T32" s="58"/>
      <c r="U32" s="57">
        <v>8.1</v>
      </c>
      <c r="V32" s="57">
        <v>583</v>
      </c>
      <c r="W32" s="57"/>
      <c r="X32" s="57"/>
      <c r="Y32" s="104"/>
      <c r="Z32" s="104"/>
      <c r="AA32" s="57"/>
      <c r="AB32" s="57"/>
      <c r="AC32" s="57">
        <v>138.19999999999999</v>
      </c>
      <c r="AD32" s="57"/>
      <c r="AE32" s="104"/>
      <c r="AF32" s="58">
        <v>1536</v>
      </c>
      <c r="AG32" s="58">
        <v>386.4</v>
      </c>
      <c r="AH32" s="58">
        <v>163</v>
      </c>
      <c r="AI32" s="92"/>
      <c r="AJ32" s="84"/>
    </row>
    <row r="33" spans="1:36" ht="58">
      <c r="A33" s="54" t="s">
        <v>287</v>
      </c>
      <c r="B33" s="55" t="s">
        <v>291</v>
      </c>
      <c r="C33" s="56" t="s">
        <v>274</v>
      </c>
      <c r="D33" s="26" t="s">
        <v>289</v>
      </c>
      <c r="E33" s="57">
        <v>498.1</v>
      </c>
      <c r="F33" s="57"/>
      <c r="G33" s="57"/>
      <c r="H33" s="57">
        <v>855.1</v>
      </c>
      <c r="I33" s="57"/>
      <c r="J33" s="57">
        <v>11.5</v>
      </c>
      <c r="K33" s="57">
        <v>3.3</v>
      </c>
      <c r="L33" s="57"/>
      <c r="M33" s="57"/>
      <c r="N33" s="57" t="s">
        <v>270</v>
      </c>
      <c r="O33" s="57">
        <v>0</v>
      </c>
      <c r="P33" s="57">
        <v>1200</v>
      </c>
      <c r="Q33" s="57">
        <v>700</v>
      </c>
      <c r="R33" s="57">
        <v>4</v>
      </c>
      <c r="S33" s="57">
        <v>7.5</v>
      </c>
      <c r="T33" s="57"/>
      <c r="U33" s="57">
        <v>8.5</v>
      </c>
      <c r="V33" s="57">
        <v>618</v>
      </c>
      <c r="W33" s="57"/>
      <c r="X33" s="57"/>
      <c r="Y33" s="104"/>
      <c r="Z33" s="104"/>
      <c r="AA33" s="57"/>
      <c r="AB33" s="57"/>
      <c r="AC33" s="57">
        <v>156.19999999999999</v>
      </c>
      <c r="AD33" s="57"/>
      <c r="AE33" s="104"/>
      <c r="AF33" s="58">
        <v>955.5</v>
      </c>
      <c r="AG33" s="58">
        <v>846.6</v>
      </c>
      <c r="AH33" s="58">
        <v>225.2</v>
      </c>
      <c r="AI33" s="92"/>
      <c r="AJ33" s="84"/>
    </row>
    <row r="34" spans="1:36" ht="58">
      <c r="A34" s="54" t="s">
        <v>287</v>
      </c>
      <c r="B34" s="55" t="s">
        <v>292</v>
      </c>
      <c r="C34" s="56" t="s">
        <v>274</v>
      </c>
      <c r="D34" s="26" t="s">
        <v>289</v>
      </c>
      <c r="E34" s="57"/>
      <c r="F34" s="57"/>
      <c r="G34" s="57">
        <v>66.150000000000006</v>
      </c>
      <c r="H34" s="57">
        <v>830.8</v>
      </c>
      <c r="I34" s="57"/>
      <c r="J34" s="57">
        <v>15.33</v>
      </c>
      <c r="K34" s="57">
        <v>3.82</v>
      </c>
      <c r="L34" s="57"/>
      <c r="M34" s="57"/>
      <c r="N34" s="57" t="s">
        <v>270</v>
      </c>
      <c r="O34" s="57">
        <v>0</v>
      </c>
      <c r="P34" s="57">
        <v>1200</v>
      </c>
      <c r="Q34" s="57">
        <v>700</v>
      </c>
      <c r="R34" s="57">
        <v>4</v>
      </c>
      <c r="S34" s="57">
        <v>7.5</v>
      </c>
      <c r="T34" s="57"/>
      <c r="U34" s="57">
        <v>7.9</v>
      </c>
      <c r="V34" s="57">
        <v>596</v>
      </c>
      <c r="W34" s="57"/>
      <c r="X34" s="57"/>
      <c r="Y34" s="104"/>
      <c r="Z34" s="104"/>
      <c r="AA34" s="57"/>
      <c r="AB34" s="57"/>
      <c r="AC34" s="57">
        <v>190.4</v>
      </c>
      <c r="AD34" s="57"/>
      <c r="AE34" s="104"/>
      <c r="AF34" s="58">
        <v>1356.1</v>
      </c>
      <c r="AG34" s="58">
        <v>403.4</v>
      </c>
      <c r="AH34" s="58">
        <v>135.12</v>
      </c>
      <c r="AI34" s="92"/>
      <c r="AJ34" s="84"/>
    </row>
    <row r="35" spans="1:36" ht="58">
      <c r="A35" s="54" t="s">
        <v>287</v>
      </c>
      <c r="B35" s="55" t="s">
        <v>293</v>
      </c>
      <c r="C35" s="56" t="s">
        <v>274</v>
      </c>
      <c r="D35" s="26" t="s">
        <v>289</v>
      </c>
      <c r="E35" s="57">
        <v>471.2</v>
      </c>
      <c r="F35" s="57"/>
      <c r="G35" s="57"/>
      <c r="H35" s="57">
        <v>867.2</v>
      </c>
      <c r="I35" s="57"/>
      <c r="J35" s="57">
        <v>4.47</v>
      </c>
      <c r="K35" s="57">
        <v>1.84</v>
      </c>
      <c r="L35" s="57"/>
      <c r="M35" s="57"/>
      <c r="N35" s="57" t="s">
        <v>270</v>
      </c>
      <c r="O35" s="57">
        <v>0</v>
      </c>
      <c r="P35" s="57">
        <v>1200</v>
      </c>
      <c r="Q35" s="57">
        <v>700</v>
      </c>
      <c r="R35" s="57">
        <v>4</v>
      </c>
      <c r="S35" s="57">
        <v>7.5</v>
      </c>
      <c r="T35" s="57"/>
      <c r="U35" s="57" t="s">
        <v>294</v>
      </c>
      <c r="V35" s="57" t="s">
        <v>294</v>
      </c>
      <c r="W35" s="57" t="s">
        <v>294</v>
      </c>
      <c r="X35" s="57" t="s">
        <v>294</v>
      </c>
      <c r="Y35" s="104" t="s">
        <v>294</v>
      </c>
      <c r="Z35" s="104" t="s">
        <v>294</v>
      </c>
      <c r="AA35" s="57" t="s">
        <v>294</v>
      </c>
      <c r="AB35" s="57" t="s">
        <v>294</v>
      </c>
      <c r="AC35" s="57" t="s">
        <v>294</v>
      </c>
      <c r="AD35" s="57" t="s">
        <v>294</v>
      </c>
      <c r="AE35" s="104" t="s">
        <v>294</v>
      </c>
      <c r="AF35" s="58" t="s">
        <v>294</v>
      </c>
      <c r="AG35" s="58" t="s">
        <v>294</v>
      </c>
      <c r="AH35" s="58" t="s">
        <v>294</v>
      </c>
      <c r="AI35" s="92" t="s">
        <v>294</v>
      </c>
      <c r="AJ35" s="84"/>
    </row>
    <row r="36" spans="1:36" ht="58">
      <c r="A36" s="54" t="s">
        <v>287</v>
      </c>
      <c r="B36" s="55" t="s">
        <v>295</v>
      </c>
      <c r="C36" s="56" t="s">
        <v>274</v>
      </c>
      <c r="D36" s="26" t="s">
        <v>289</v>
      </c>
      <c r="E36" s="57"/>
      <c r="F36" s="57"/>
      <c r="G36" s="57"/>
      <c r="H36" s="57">
        <v>915</v>
      </c>
      <c r="I36" s="57"/>
      <c r="J36" s="57">
        <v>3.03</v>
      </c>
      <c r="K36" s="57">
        <v>1.63</v>
      </c>
      <c r="L36" s="57"/>
      <c r="M36" s="57"/>
      <c r="N36" s="57" t="s">
        <v>270</v>
      </c>
      <c r="O36" s="57">
        <v>0</v>
      </c>
      <c r="P36" s="57">
        <v>1200</v>
      </c>
      <c r="Q36" s="57">
        <v>700</v>
      </c>
      <c r="R36" s="57">
        <v>4</v>
      </c>
      <c r="S36" s="57">
        <v>7.5</v>
      </c>
      <c r="T36" s="57"/>
      <c r="U36" s="57">
        <v>8.4</v>
      </c>
      <c r="V36" s="57">
        <v>637</v>
      </c>
      <c r="W36" s="57"/>
      <c r="X36" s="57"/>
      <c r="Y36" s="104"/>
      <c r="Z36" s="104"/>
      <c r="AA36" s="57"/>
      <c r="AB36" s="57"/>
      <c r="AC36" s="57">
        <v>150.6</v>
      </c>
      <c r="AD36" s="57"/>
      <c r="AE36" s="104"/>
      <c r="AF36" s="57">
        <v>1328.6</v>
      </c>
      <c r="AG36" s="57">
        <v>434.7</v>
      </c>
      <c r="AH36" s="57">
        <v>195.2</v>
      </c>
      <c r="AI36" s="104"/>
      <c r="AJ36" s="84"/>
    </row>
    <row r="37" spans="1:36" ht="58">
      <c r="A37" s="54" t="s">
        <v>287</v>
      </c>
      <c r="B37" s="55" t="s">
        <v>296</v>
      </c>
      <c r="C37" s="56" t="s">
        <v>274</v>
      </c>
      <c r="D37" s="26" t="s">
        <v>289</v>
      </c>
      <c r="E37" s="57">
        <v>499.2</v>
      </c>
      <c r="F37" s="57"/>
      <c r="G37" s="57"/>
      <c r="H37" s="57">
        <v>886.8</v>
      </c>
      <c r="I37" s="57"/>
      <c r="J37" s="57">
        <v>2.65</v>
      </c>
      <c r="K37" s="57">
        <v>1.48</v>
      </c>
      <c r="L37" s="57"/>
      <c r="M37" s="57"/>
      <c r="N37" s="57" t="s">
        <v>270</v>
      </c>
      <c r="O37" s="57">
        <v>0</v>
      </c>
      <c r="P37" s="57">
        <v>1200</v>
      </c>
      <c r="Q37" s="57">
        <v>700</v>
      </c>
      <c r="R37" s="57">
        <v>4</v>
      </c>
      <c r="S37" s="57">
        <v>7.5</v>
      </c>
      <c r="T37" s="57"/>
      <c r="U37" s="57">
        <v>5.5</v>
      </c>
      <c r="V37" s="57">
        <v>598</v>
      </c>
      <c r="W37" s="57"/>
      <c r="X37" s="57"/>
      <c r="Y37" s="104"/>
      <c r="Z37" s="104"/>
      <c r="AA37" s="57"/>
      <c r="AB37" s="57"/>
      <c r="AC37" s="57">
        <v>186.8</v>
      </c>
      <c r="AD37" s="57"/>
      <c r="AE37" s="104"/>
      <c r="AF37" s="57">
        <v>1676.2</v>
      </c>
      <c r="AG37" s="57">
        <v>221.6</v>
      </c>
      <c r="AH37" s="57">
        <v>115.8</v>
      </c>
      <c r="AI37" s="104"/>
      <c r="AJ37" s="84"/>
    </row>
    <row r="38" spans="1:36" ht="58">
      <c r="A38" s="54" t="s">
        <v>287</v>
      </c>
      <c r="B38" s="55" t="s">
        <v>297</v>
      </c>
      <c r="C38" s="56" t="s">
        <v>274</v>
      </c>
      <c r="D38" s="26" t="s">
        <v>289</v>
      </c>
      <c r="E38" s="57"/>
      <c r="F38" s="57"/>
      <c r="G38" s="57"/>
      <c r="H38" s="57"/>
      <c r="I38" s="57"/>
      <c r="J38" s="57">
        <v>2.41</v>
      </c>
      <c r="K38" s="57">
        <v>1.37</v>
      </c>
      <c r="L38" s="57"/>
      <c r="M38" s="57"/>
      <c r="N38" s="57" t="s">
        <v>270</v>
      </c>
      <c r="O38" s="57">
        <v>0</v>
      </c>
      <c r="P38" s="57">
        <v>1200</v>
      </c>
      <c r="Q38" s="57">
        <v>700</v>
      </c>
      <c r="R38" s="57">
        <v>4</v>
      </c>
      <c r="S38" s="57">
        <v>7.5</v>
      </c>
      <c r="T38" s="57"/>
      <c r="U38" s="57">
        <v>7.9</v>
      </c>
      <c r="V38" s="57">
        <v>647</v>
      </c>
      <c r="W38" s="57"/>
      <c r="X38" s="57"/>
      <c r="Y38" s="104"/>
      <c r="Z38" s="104"/>
      <c r="AA38" s="57"/>
      <c r="AB38" s="57"/>
      <c r="AC38" s="57">
        <v>192.1</v>
      </c>
      <c r="AD38" s="57"/>
      <c r="AE38" s="104"/>
      <c r="AF38" s="57">
        <v>1872.2</v>
      </c>
      <c r="AG38" s="57">
        <v>213.1</v>
      </c>
      <c r="AH38" s="57">
        <v>135.1</v>
      </c>
      <c r="AI38" s="104"/>
      <c r="AJ38" s="84"/>
    </row>
    <row r="39" spans="1:36" ht="58">
      <c r="A39" s="54" t="s">
        <v>287</v>
      </c>
      <c r="B39" s="55" t="s">
        <v>298</v>
      </c>
      <c r="C39" s="56" t="s">
        <v>274</v>
      </c>
      <c r="D39" s="26" t="s">
        <v>289</v>
      </c>
      <c r="E39" s="57">
        <v>432</v>
      </c>
      <c r="F39" s="57"/>
      <c r="G39" s="57"/>
      <c r="H39" s="57">
        <v>760.1</v>
      </c>
      <c r="I39" s="57"/>
      <c r="J39" s="57">
        <v>1</v>
      </c>
      <c r="K39" s="57">
        <v>0.84</v>
      </c>
      <c r="L39" s="57"/>
      <c r="M39" s="57"/>
      <c r="N39" s="57" t="s">
        <v>270</v>
      </c>
      <c r="O39" s="57">
        <v>0</v>
      </c>
      <c r="P39" s="57">
        <v>1200</v>
      </c>
      <c r="Q39" s="57">
        <v>700</v>
      </c>
      <c r="R39" s="57">
        <v>4</v>
      </c>
      <c r="S39" s="57">
        <v>7.5</v>
      </c>
      <c r="T39" s="57"/>
      <c r="U39" s="57" t="s">
        <v>294</v>
      </c>
      <c r="V39" s="57" t="s">
        <v>294</v>
      </c>
      <c r="W39" s="57" t="s">
        <v>294</v>
      </c>
      <c r="X39" s="57" t="s">
        <v>294</v>
      </c>
      <c r="Y39" s="104" t="s">
        <v>294</v>
      </c>
      <c r="Z39" s="104" t="s">
        <v>294</v>
      </c>
      <c r="AA39" s="57" t="s">
        <v>294</v>
      </c>
      <c r="AB39" s="57" t="s">
        <v>294</v>
      </c>
      <c r="AC39" s="57" t="s">
        <v>294</v>
      </c>
      <c r="AD39" s="57" t="s">
        <v>294</v>
      </c>
      <c r="AE39" s="104" t="s">
        <v>294</v>
      </c>
      <c r="AF39" s="57" t="s">
        <v>294</v>
      </c>
      <c r="AG39" s="57" t="s">
        <v>294</v>
      </c>
      <c r="AH39" s="57" t="s">
        <v>294</v>
      </c>
      <c r="AI39" s="104" t="s">
        <v>294</v>
      </c>
      <c r="AJ39" s="84"/>
    </row>
    <row r="40" spans="1:36" ht="58">
      <c r="A40" s="54" t="s">
        <v>287</v>
      </c>
      <c r="B40" s="55" t="s">
        <v>299</v>
      </c>
      <c r="C40" s="56" t="s">
        <v>274</v>
      </c>
      <c r="D40" s="26" t="s">
        <v>289</v>
      </c>
      <c r="E40" s="57">
        <v>487.8</v>
      </c>
      <c r="F40" s="57">
        <v>315.7</v>
      </c>
      <c r="G40" s="57"/>
      <c r="H40" s="57">
        <v>913.1</v>
      </c>
      <c r="I40" s="57"/>
      <c r="J40" s="57"/>
      <c r="K40" s="57">
        <v>6.17</v>
      </c>
      <c r="L40" s="57"/>
      <c r="M40" s="57"/>
      <c r="N40" s="57" t="s">
        <v>270</v>
      </c>
      <c r="O40" s="57">
        <v>0</v>
      </c>
      <c r="P40" s="57">
        <v>1200</v>
      </c>
      <c r="Q40" s="57">
        <v>700</v>
      </c>
      <c r="R40" s="57">
        <v>4</v>
      </c>
      <c r="S40" s="57">
        <v>7.5</v>
      </c>
      <c r="T40" s="57"/>
      <c r="U40" s="57" t="s">
        <v>294</v>
      </c>
      <c r="V40" s="57" t="s">
        <v>294</v>
      </c>
      <c r="W40" s="57" t="s">
        <v>294</v>
      </c>
      <c r="X40" s="57" t="s">
        <v>294</v>
      </c>
      <c r="Y40" s="104" t="s">
        <v>294</v>
      </c>
      <c r="Z40" s="104" t="s">
        <v>294</v>
      </c>
      <c r="AA40" s="57" t="s">
        <v>294</v>
      </c>
      <c r="AB40" s="57" t="s">
        <v>294</v>
      </c>
      <c r="AC40" s="57" t="s">
        <v>294</v>
      </c>
      <c r="AD40" s="57" t="s">
        <v>294</v>
      </c>
      <c r="AE40" s="104" t="s">
        <v>294</v>
      </c>
      <c r="AF40" s="57" t="s">
        <v>294</v>
      </c>
      <c r="AG40" s="57" t="s">
        <v>294</v>
      </c>
      <c r="AH40" s="57" t="s">
        <v>294</v>
      </c>
      <c r="AI40" s="104" t="s">
        <v>294</v>
      </c>
      <c r="AJ40" s="84"/>
    </row>
    <row r="41" spans="1:36" ht="58">
      <c r="A41" s="54" t="s">
        <v>287</v>
      </c>
      <c r="B41" s="55" t="s">
        <v>300</v>
      </c>
      <c r="C41" s="56" t="s">
        <v>274</v>
      </c>
      <c r="D41" s="26" t="s">
        <v>289</v>
      </c>
      <c r="E41" s="57"/>
      <c r="F41" s="57"/>
      <c r="G41" s="57"/>
      <c r="H41" s="57">
        <v>841</v>
      </c>
      <c r="I41" s="57"/>
      <c r="J41" s="57">
        <v>3.29</v>
      </c>
      <c r="K41" s="57">
        <v>1.7</v>
      </c>
      <c r="L41" s="57"/>
      <c r="M41" s="57"/>
      <c r="N41" s="57" t="s">
        <v>270</v>
      </c>
      <c r="O41" s="57">
        <v>0</v>
      </c>
      <c r="P41" s="57">
        <v>1200</v>
      </c>
      <c r="Q41" s="57">
        <v>700</v>
      </c>
      <c r="R41" s="57">
        <v>4</v>
      </c>
      <c r="S41" s="57">
        <v>7.5</v>
      </c>
      <c r="T41" s="57"/>
      <c r="U41" s="57">
        <v>6.5</v>
      </c>
      <c r="V41" s="57">
        <v>566</v>
      </c>
      <c r="W41" s="57"/>
      <c r="X41" s="57"/>
      <c r="Y41" s="104"/>
      <c r="Z41" s="104"/>
      <c r="AA41" s="57"/>
      <c r="AB41" s="57"/>
      <c r="AC41" s="57">
        <v>216.2</v>
      </c>
      <c r="AD41" s="57"/>
      <c r="AE41" s="104"/>
      <c r="AF41" s="57">
        <v>1748.1</v>
      </c>
      <c r="AG41" s="57">
        <v>224.4</v>
      </c>
      <c r="AH41" s="57">
        <v>169.4</v>
      </c>
      <c r="AI41" s="104"/>
      <c r="AJ41" s="84"/>
    </row>
    <row r="42" spans="1:36" ht="58">
      <c r="A42" s="54" t="s">
        <v>287</v>
      </c>
      <c r="B42" s="55" t="s">
        <v>301</v>
      </c>
      <c r="C42" s="56" t="s">
        <v>274</v>
      </c>
      <c r="D42" s="26" t="s">
        <v>289</v>
      </c>
      <c r="E42" s="57"/>
      <c r="F42" s="57">
        <v>268.2</v>
      </c>
      <c r="G42" s="57"/>
      <c r="H42" s="57">
        <v>857.7</v>
      </c>
      <c r="I42" s="57"/>
      <c r="J42" s="57">
        <v>15.5</v>
      </c>
      <c r="K42" s="57">
        <v>5.49</v>
      </c>
      <c r="L42" s="57"/>
      <c r="M42" s="57"/>
      <c r="N42" s="57" t="s">
        <v>270</v>
      </c>
      <c r="O42" s="57">
        <v>0</v>
      </c>
      <c r="P42" s="57">
        <v>1200</v>
      </c>
      <c r="Q42" s="57">
        <v>700</v>
      </c>
      <c r="R42" s="57">
        <v>4</v>
      </c>
      <c r="S42" s="57">
        <v>7.5</v>
      </c>
      <c r="T42" s="57"/>
      <c r="U42" s="57">
        <v>6.7</v>
      </c>
      <c r="V42" s="57">
        <v>598</v>
      </c>
      <c r="W42" s="57"/>
      <c r="X42" s="57"/>
      <c r="Y42" s="104"/>
      <c r="Z42" s="104"/>
      <c r="AA42" s="57"/>
      <c r="AB42" s="57"/>
      <c r="AC42" s="57">
        <v>213.4</v>
      </c>
      <c r="AD42" s="57"/>
      <c r="AE42" s="104"/>
      <c r="AF42" s="57">
        <v>1838.1</v>
      </c>
      <c r="AG42" s="57">
        <v>309.7</v>
      </c>
      <c r="AH42" s="57">
        <v>332.4</v>
      </c>
      <c r="AI42" s="104"/>
      <c r="AJ42" s="84"/>
    </row>
    <row r="43" spans="1:36" ht="58">
      <c r="A43" s="54" t="s">
        <v>287</v>
      </c>
      <c r="B43" s="58" t="s">
        <v>267</v>
      </c>
      <c r="C43" s="56" t="s">
        <v>268</v>
      </c>
      <c r="D43" s="26" t="s">
        <v>269</v>
      </c>
      <c r="E43" s="57">
        <v>542.20000000000005</v>
      </c>
      <c r="F43" s="57"/>
      <c r="G43" s="57"/>
      <c r="H43" s="57">
        <v>834.5</v>
      </c>
      <c r="I43" s="57"/>
      <c r="J43" s="57">
        <v>3.42</v>
      </c>
      <c r="K43" s="57">
        <v>1.75</v>
      </c>
      <c r="L43" s="57"/>
      <c r="M43" s="57"/>
      <c r="N43" s="57" t="s">
        <v>270</v>
      </c>
      <c r="O43" s="57">
        <v>0</v>
      </c>
      <c r="P43" s="57">
        <v>1200</v>
      </c>
      <c r="Q43" s="57">
        <v>450</v>
      </c>
      <c r="R43" s="57">
        <v>4.09</v>
      </c>
      <c r="S43" s="57">
        <v>7.5</v>
      </c>
      <c r="T43" s="57"/>
      <c r="U43" s="57">
        <v>7.5</v>
      </c>
      <c r="V43" s="57">
        <v>685</v>
      </c>
      <c r="W43" s="57"/>
      <c r="X43" s="57"/>
      <c r="Y43" s="104"/>
      <c r="Z43" s="104"/>
      <c r="AA43" s="57"/>
      <c r="AB43" s="57"/>
      <c r="AC43" s="57"/>
      <c r="AD43" s="57"/>
      <c r="AE43" s="104"/>
      <c r="AF43" s="104"/>
      <c r="AG43" s="104"/>
      <c r="AH43" s="104"/>
      <c r="AI43" s="104"/>
      <c r="AJ43" s="59"/>
    </row>
    <row r="44" spans="1:36" ht="58">
      <c r="A44" s="54" t="s">
        <v>287</v>
      </c>
      <c r="B44" s="55" t="s">
        <v>302</v>
      </c>
      <c r="C44" s="56" t="s">
        <v>274</v>
      </c>
      <c r="D44" s="26" t="s">
        <v>303</v>
      </c>
      <c r="E44" s="57"/>
      <c r="F44" s="57"/>
      <c r="G44" s="57"/>
      <c r="H44" s="57"/>
      <c r="I44" s="57"/>
      <c r="J44" s="57"/>
      <c r="K44" s="57"/>
      <c r="L44" s="57"/>
      <c r="M44" s="57"/>
      <c r="N44" s="57" t="s">
        <v>270</v>
      </c>
      <c r="O44" s="57">
        <v>0</v>
      </c>
      <c r="P44" s="57">
        <v>1200</v>
      </c>
      <c r="Q44" s="57">
        <v>450</v>
      </c>
      <c r="R44" s="57">
        <v>4.09</v>
      </c>
      <c r="S44" s="57">
        <v>7.5</v>
      </c>
      <c r="T44" s="57"/>
      <c r="U44" s="57">
        <v>8.1</v>
      </c>
      <c r="V44" s="57">
        <v>736</v>
      </c>
      <c r="W44" s="57"/>
      <c r="X44" s="57"/>
      <c r="Y44" s="104"/>
      <c r="Z44" s="104"/>
      <c r="AA44" s="57"/>
      <c r="AB44" s="57"/>
      <c r="AC44" s="57"/>
      <c r="AD44" s="57"/>
      <c r="AE44" s="104"/>
      <c r="AF44" s="104"/>
      <c r="AG44" s="104"/>
      <c r="AH44" s="104"/>
      <c r="AI44" s="104"/>
      <c r="AJ44" s="59"/>
    </row>
    <row r="45" spans="1:36" ht="58">
      <c r="A45" s="54" t="s">
        <v>287</v>
      </c>
      <c r="B45" s="55" t="s">
        <v>304</v>
      </c>
      <c r="C45" s="56" t="s">
        <v>274</v>
      </c>
      <c r="D45" s="26" t="s">
        <v>303</v>
      </c>
      <c r="E45" s="57"/>
      <c r="F45" s="57"/>
      <c r="G45" s="57"/>
      <c r="H45" s="57"/>
      <c r="I45" s="57"/>
      <c r="J45" s="57"/>
      <c r="K45" s="57"/>
      <c r="L45" s="57"/>
      <c r="M45" s="57"/>
      <c r="N45" s="57" t="s">
        <v>270</v>
      </c>
      <c r="O45" s="57">
        <v>0</v>
      </c>
      <c r="P45" s="57">
        <v>1200</v>
      </c>
      <c r="Q45" s="57">
        <v>450</v>
      </c>
      <c r="R45" s="57">
        <v>4.09</v>
      </c>
      <c r="S45" s="57">
        <v>7.5</v>
      </c>
      <c r="T45" s="57"/>
      <c r="U45" s="57">
        <v>8.5</v>
      </c>
      <c r="V45" s="57">
        <v>735</v>
      </c>
      <c r="W45" s="57"/>
      <c r="X45" s="57"/>
      <c r="Y45" s="104"/>
      <c r="Z45" s="104"/>
      <c r="AA45" s="57"/>
      <c r="AB45" s="57"/>
      <c r="AC45" s="57"/>
      <c r="AD45" s="57"/>
      <c r="AE45" s="104"/>
      <c r="AF45" s="104"/>
      <c r="AG45" s="104"/>
      <c r="AH45" s="104"/>
      <c r="AI45" s="104"/>
      <c r="AJ45" s="59"/>
    </row>
    <row r="46" spans="1:36" ht="58">
      <c r="A46" s="54" t="s">
        <v>287</v>
      </c>
      <c r="B46" s="55" t="s">
        <v>305</v>
      </c>
      <c r="C46" s="56" t="s">
        <v>274</v>
      </c>
      <c r="D46" s="26" t="s">
        <v>303</v>
      </c>
      <c r="E46" s="57"/>
      <c r="F46" s="57"/>
      <c r="G46" s="57"/>
      <c r="H46" s="57"/>
      <c r="I46" s="57"/>
      <c r="J46" s="57"/>
      <c r="K46" s="57"/>
      <c r="L46" s="57"/>
      <c r="M46" s="57"/>
      <c r="N46" s="57" t="s">
        <v>270</v>
      </c>
      <c r="O46" s="57">
        <v>0</v>
      </c>
      <c r="P46" s="57">
        <v>1200</v>
      </c>
      <c r="Q46" s="57">
        <v>450</v>
      </c>
      <c r="R46" s="57">
        <v>4.09</v>
      </c>
      <c r="S46" s="57">
        <v>7.5</v>
      </c>
      <c r="T46" s="57"/>
      <c r="U46" s="57">
        <v>8.9</v>
      </c>
      <c r="V46" s="57">
        <v>736</v>
      </c>
      <c r="W46" s="57"/>
      <c r="X46" s="57"/>
      <c r="Y46" s="104"/>
      <c r="Z46" s="104"/>
      <c r="AA46" s="57"/>
      <c r="AB46" s="57"/>
      <c r="AC46" s="57"/>
      <c r="AD46" s="57"/>
      <c r="AE46" s="104"/>
      <c r="AF46" s="104"/>
      <c r="AG46" s="104"/>
      <c r="AH46" s="104"/>
      <c r="AI46" s="104"/>
      <c r="AJ46" s="59"/>
    </row>
    <row r="47" spans="1:36" ht="58">
      <c r="A47" s="54" t="s">
        <v>287</v>
      </c>
      <c r="B47" s="55" t="s">
        <v>306</v>
      </c>
      <c r="C47" s="56" t="s">
        <v>274</v>
      </c>
      <c r="D47" s="26" t="s">
        <v>303</v>
      </c>
      <c r="E47" s="57"/>
      <c r="F47" s="57"/>
      <c r="G47" s="57"/>
      <c r="H47" s="57"/>
      <c r="I47" s="57"/>
      <c r="J47" s="57"/>
      <c r="K47" s="57"/>
      <c r="L47" s="57"/>
      <c r="M47" s="57"/>
      <c r="N47" s="57" t="s">
        <v>270</v>
      </c>
      <c r="O47" s="57">
        <v>0</v>
      </c>
      <c r="P47" s="57">
        <v>1200</v>
      </c>
      <c r="Q47" s="57">
        <v>450</v>
      </c>
      <c r="R47" s="57">
        <v>4.09</v>
      </c>
      <c r="S47" s="57">
        <v>7.5</v>
      </c>
      <c r="T47" s="57"/>
      <c r="U47" s="57">
        <v>10.1</v>
      </c>
      <c r="V47" s="57">
        <v>737</v>
      </c>
      <c r="W47" s="57"/>
      <c r="X47" s="57"/>
      <c r="Y47" s="104"/>
      <c r="Z47" s="104"/>
      <c r="AA47" s="57"/>
      <c r="AB47" s="57"/>
      <c r="AC47" s="57"/>
      <c r="AD47" s="57"/>
      <c r="AE47" s="104"/>
      <c r="AF47" s="104"/>
      <c r="AG47" s="104"/>
      <c r="AH47" s="104"/>
      <c r="AI47" s="104"/>
      <c r="AJ47" s="59"/>
    </row>
    <row r="48" spans="1:36" ht="58">
      <c r="A48" s="54" t="s">
        <v>287</v>
      </c>
      <c r="B48" s="55" t="s">
        <v>307</v>
      </c>
      <c r="C48" s="56" t="s">
        <v>274</v>
      </c>
      <c r="D48" s="26" t="s">
        <v>303</v>
      </c>
      <c r="E48" s="57"/>
      <c r="F48" s="57"/>
      <c r="G48" s="57"/>
      <c r="H48" s="57"/>
      <c r="I48" s="57"/>
      <c r="J48" s="57"/>
      <c r="K48" s="57"/>
      <c r="L48" s="57"/>
      <c r="M48" s="57"/>
      <c r="N48" s="57" t="s">
        <v>270</v>
      </c>
      <c r="O48" s="57">
        <v>0</v>
      </c>
      <c r="P48" s="57">
        <v>1200</v>
      </c>
      <c r="Q48" s="57">
        <v>450</v>
      </c>
      <c r="R48" s="57">
        <v>4.09</v>
      </c>
      <c r="S48" s="57">
        <v>7.5</v>
      </c>
      <c r="T48" s="57"/>
      <c r="U48" s="57">
        <v>11.1</v>
      </c>
      <c r="V48" s="57">
        <v>778</v>
      </c>
      <c r="W48" s="57"/>
      <c r="X48" s="57"/>
      <c r="Y48" s="104"/>
      <c r="Z48" s="104"/>
      <c r="AA48" s="57"/>
      <c r="AB48" s="57"/>
      <c r="AC48" s="57"/>
      <c r="AD48" s="57"/>
      <c r="AE48" s="104"/>
      <c r="AF48" s="104"/>
      <c r="AG48" s="104"/>
      <c r="AH48" s="104"/>
      <c r="AI48" s="104"/>
      <c r="AJ48" s="59"/>
    </row>
    <row r="49" spans="1:36" ht="58">
      <c r="A49" s="54" t="s">
        <v>287</v>
      </c>
      <c r="B49" s="60" t="s">
        <v>308</v>
      </c>
      <c r="C49" s="56" t="s">
        <v>274</v>
      </c>
      <c r="D49" s="26" t="s">
        <v>303</v>
      </c>
      <c r="E49" s="57"/>
      <c r="F49" s="57"/>
      <c r="G49" s="57"/>
      <c r="H49" s="57"/>
      <c r="I49" s="57"/>
      <c r="J49" s="57"/>
      <c r="K49" s="57"/>
      <c r="L49" s="57"/>
      <c r="M49" s="57"/>
      <c r="N49" s="57" t="s">
        <v>270</v>
      </c>
      <c r="O49" s="57">
        <v>0</v>
      </c>
      <c r="P49" s="57">
        <v>1200</v>
      </c>
      <c r="Q49" s="57">
        <v>450</v>
      </c>
      <c r="R49" s="57">
        <v>4.09</v>
      </c>
      <c r="S49" s="57">
        <v>7.5</v>
      </c>
      <c r="T49" s="57"/>
      <c r="U49" s="57" t="s">
        <v>294</v>
      </c>
      <c r="V49" s="57" t="s">
        <v>294</v>
      </c>
      <c r="W49" s="57" t="s">
        <v>294</v>
      </c>
      <c r="X49" s="57" t="s">
        <v>294</v>
      </c>
      <c r="Y49" s="104" t="s">
        <v>294</v>
      </c>
      <c r="Z49" s="104" t="s">
        <v>294</v>
      </c>
      <c r="AA49" s="57" t="s">
        <v>294</v>
      </c>
      <c r="AB49" s="57" t="s">
        <v>294</v>
      </c>
      <c r="AC49" s="57" t="s">
        <v>294</v>
      </c>
      <c r="AD49" s="57" t="s">
        <v>294</v>
      </c>
      <c r="AE49" s="104" t="s">
        <v>294</v>
      </c>
      <c r="AF49" s="104" t="s">
        <v>294</v>
      </c>
      <c r="AG49" s="104" t="s">
        <v>294</v>
      </c>
      <c r="AH49" s="104" t="s">
        <v>294</v>
      </c>
      <c r="AI49" s="104" t="s">
        <v>294</v>
      </c>
      <c r="AJ49" s="59"/>
    </row>
    <row r="50" spans="1:36" ht="58">
      <c r="A50" s="54" t="s">
        <v>287</v>
      </c>
      <c r="B50" s="55" t="s">
        <v>309</v>
      </c>
      <c r="C50" s="56" t="s">
        <v>274</v>
      </c>
      <c r="D50" s="26" t="s">
        <v>303</v>
      </c>
      <c r="E50" s="57"/>
      <c r="F50" s="57"/>
      <c r="G50" s="57"/>
      <c r="H50" s="57"/>
      <c r="I50" s="57"/>
      <c r="J50" s="57"/>
      <c r="K50" s="57"/>
      <c r="L50" s="57"/>
      <c r="M50" s="57"/>
      <c r="N50" s="57" t="s">
        <v>270</v>
      </c>
      <c r="O50" s="57">
        <v>0</v>
      </c>
      <c r="P50" s="57">
        <v>1200</v>
      </c>
      <c r="Q50" s="57">
        <v>450</v>
      </c>
      <c r="R50" s="57">
        <v>4.09</v>
      </c>
      <c r="S50" s="57">
        <v>7.5</v>
      </c>
      <c r="T50" s="57"/>
      <c r="U50" s="57">
        <v>7.5</v>
      </c>
      <c r="V50" s="57">
        <v>636</v>
      </c>
      <c r="W50" s="57"/>
      <c r="X50" s="57"/>
      <c r="Y50" s="104"/>
      <c r="Z50" s="104"/>
      <c r="AA50" s="57"/>
      <c r="AB50" s="57"/>
      <c r="AC50" s="57"/>
      <c r="AD50" s="57"/>
      <c r="AE50" s="104"/>
      <c r="AF50" s="104"/>
      <c r="AG50" s="104"/>
      <c r="AH50" s="104"/>
      <c r="AI50" s="104"/>
      <c r="AJ50" s="59"/>
    </row>
    <row r="51" spans="1:36" ht="58">
      <c r="A51" s="54" t="s">
        <v>287</v>
      </c>
      <c r="B51" s="55" t="s">
        <v>310</v>
      </c>
      <c r="C51" s="56" t="s">
        <v>274</v>
      </c>
      <c r="D51" s="26" t="s">
        <v>303</v>
      </c>
      <c r="E51" s="57"/>
      <c r="F51" s="57"/>
      <c r="G51" s="57"/>
      <c r="H51" s="57"/>
      <c r="I51" s="57"/>
      <c r="J51" s="57"/>
      <c r="K51" s="57"/>
      <c r="L51" s="57"/>
      <c r="M51" s="57"/>
      <c r="N51" s="57" t="s">
        <v>270</v>
      </c>
      <c r="O51" s="57">
        <v>0</v>
      </c>
      <c r="P51" s="57">
        <v>1200</v>
      </c>
      <c r="Q51" s="57">
        <v>450</v>
      </c>
      <c r="R51" s="57">
        <v>4.09</v>
      </c>
      <c r="S51" s="57">
        <v>7.5</v>
      </c>
      <c r="T51" s="57"/>
      <c r="U51" s="57">
        <v>7.5</v>
      </c>
      <c r="V51" s="57">
        <v>640</v>
      </c>
      <c r="W51" s="57"/>
      <c r="X51" s="57"/>
      <c r="Y51" s="104"/>
      <c r="Z51" s="104"/>
      <c r="AA51" s="57"/>
      <c r="AB51" s="57"/>
      <c r="AC51" s="57"/>
      <c r="AD51" s="57"/>
      <c r="AE51" s="104"/>
      <c r="AF51" s="104"/>
      <c r="AG51" s="104"/>
      <c r="AH51" s="104"/>
      <c r="AI51" s="104"/>
      <c r="AJ51" s="59"/>
    </row>
    <row r="52" spans="1:36" ht="58">
      <c r="A52" s="54" t="s">
        <v>287</v>
      </c>
      <c r="B52" s="55" t="s">
        <v>311</v>
      </c>
      <c r="C52" s="56" t="s">
        <v>274</v>
      </c>
      <c r="D52" s="26" t="s">
        <v>303</v>
      </c>
      <c r="E52" s="57"/>
      <c r="F52" s="57"/>
      <c r="G52" s="57"/>
      <c r="H52" s="57"/>
      <c r="I52" s="57"/>
      <c r="J52" s="57"/>
      <c r="K52" s="57"/>
      <c r="L52" s="57"/>
      <c r="M52" s="57"/>
      <c r="N52" s="57" t="s">
        <v>270</v>
      </c>
      <c r="O52" s="57">
        <v>0</v>
      </c>
      <c r="P52" s="57">
        <v>1200</v>
      </c>
      <c r="Q52" s="57">
        <v>450</v>
      </c>
      <c r="R52" s="57">
        <v>4.09</v>
      </c>
      <c r="S52" s="57">
        <v>7.5</v>
      </c>
      <c r="T52" s="57"/>
      <c r="U52" s="57">
        <v>7.9</v>
      </c>
      <c r="V52" s="57">
        <v>635</v>
      </c>
      <c r="W52" s="57"/>
      <c r="X52" s="57"/>
      <c r="Y52" s="104"/>
      <c r="Z52" s="104"/>
      <c r="AA52" s="57"/>
      <c r="AB52" s="57"/>
      <c r="AC52" s="57"/>
      <c r="AD52" s="57"/>
      <c r="AE52" s="104"/>
      <c r="AF52" s="104"/>
      <c r="AG52" s="104"/>
      <c r="AH52" s="104"/>
      <c r="AI52" s="104"/>
      <c r="AJ52" s="59"/>
    </row>
    <row r="53" spans="1:36" ht="58">
      <c r="A53" s="54" t="s">
        <v>287</v>
      </c>
      <c r="B53" s="55" t="s">
        <v>312</v>
      </c>
      <c r="C53" s="56" t="s">
        <v>274</v>
      </c>
      <c r="D53" s="26" t="s">
        <v>303</v>
      </c>
      <c r="E53" s="57"/>
      <c r="F53" s="57"/>
      <c r="G53" s="57"/>
      <c r="H53" s="57"/>
      <c r="I53" s="57"/>
      <c r="J53" s="57"/>
      <c r="K53" s="57"/>
      <c r="L53" s="57"/>
      <c r="M53" s="57"/>
      <c r="N53" s="57" t="s">
        <v>270</v>
      </c>
      <c r="O53" s="57">
        <v>0</v>
      </c>
      <c r="P53" s="57">
        <v>1200</v>
      </c>
      <c r="Q53" s="57">
        <v>450</v>
      </c>
      <c r="R53" s="57">
        <v>4.09</v>
      </c>
      <c r="S53" s="57">
        <v>7.5</v>
      </c>
      <c r="T53" s="57"/>
      <c r="U53" s="57">
        <v>8.9</v>
      </c>
      <c r="V53" s="57">
        <v>644</v>
      </c>
      <c r="W53" s="57"/>
      <c r="X53" s="57"/>
      <c r="Y53" s="104"/>
      <c r="Z53" s="104"/>
      <c r="AA53" s="57"/>
      <c r="AB53" s="57"/>
      <c r="AC53" s="57"/>
      <c r="AD53" s="57"/>
      <c r="AE53" s="104"/>
      <c r="AF53" s="104"/>
      <c r="AG53" s="104"/>
      <c r="AH53" s="104"/>
      <c r="AI53" s="104"/>
      <c r="AJ53" s="59"/>
    </row>
    <row r="54" spans="1:36" ht="58">
      <c r="A54" s="54" t="s">
        <v>287</v>
      </c>
      <c r="B54" s="55" t="s">
        <v>313</v>
      </c>
      <c r="C54" s="56" t="s">
        <v>274</v>
      </c>
      <c r="D54" s="26" t="s">
        <v>303</v>
      </c>
      <c r="E54" s="57"/>
      <c r="F54" s="57"/>
      <c r="G54" s="57"/>
      <c r="H54" s="57"/>
      <c r="I54" s="57"/>
      <c r="J54" s="57"/>
      <c r="K54" s="57"/>
      <c r="L54" s="57"/>
      <c r="M54" s="57"/>
      <c r="N54" s="57" t="s">
        <v>270</v>
      </c>
      <c r="O54" s="57">
        <v>0</v>
      </c>
      <c r="P54" s="57">
        <v>1200</v>
      </c>
      <c r="Q54" s="57">
        <v>450</v>
      </c>
      <c r="R54" s="57">
        <v>4.09</v>
      </c>
      <c r="S54" s="57">
        <v>7.5</v>
      </c>
      <c r="T54" s="57"/>
      <c r="U54" s="57">
        <v>9.9</v>
      </c>
      <c r="V54" s="57">
        <v>658</v>
      </c>
      <c r="W54" s="57"/>
      <c r="X54" s="57"/>
      <c r="Y54" s="104"/>
      <c r="Z54" s="104"/>
      <c r="AA54" s="57"/>
      <c r="AB54" s="57"/>
      <c r="AC54" s="57"/>
      <c r="AD54" s="57"/>
      <c r="AE54" s="104"/>
      <c r="AF54" s="104"/>
      <c r="AG54" s="104"/>
      <c r="AH54" s="104"/>
      <c r="AI54" s="104"/>
      <c r="AJ54" s="59"/>
    </row>
    <row r="55" spans="1:36" ht="58">
      <c r="A55" s="54" t="s">
        <v>287</v>
      </c>
      <c r="B55" s="55" t="s">
        <v>314</v>
      </c>
      <c r="C55" s="56" t="s">
        <v>274</v>
      </c>
      <c r="D55" s="26" t="s">
        <v>303</v>
      </c>
      <c r="E55" s="57"/>
      <c r="F55" s="57"/>
      <c r="G55" s="57"/>
      <c r="H55" s="57"/>
      <c r="I55" s="57"/>
      <c r="J55" s="57"/>
      <c r="K55" s="57"/>
      <c r="L55" s="57"/>
      <c r="M55" s="57"/>
      <c r="N55" s="57" t="s">
        <v>270</v>
      </c>
      <c r="O55" s="57">
        <v>0</v>
      </c>
      <c r="P55" s="57">
        <v>1200</v>
      </c>
      <c r="Q55" s="57">
        <v>450</v>
      </c>
      <c r="R55" s="57">
        <v>4.09</v>
      </c>
      <c r="S55" s="57">
        <v>7.5</v>
      </c>
      <c r="T55" s="57"/>
      <c r="U55" s="57">
        <v>10.1</v>
      </c>
      <c r="V55" s="57">
        <v>677</v>
      </c>
      <c r="W55" s="57"/>
      <c r="X55" s="57"/>
      <c r="Y55" s="104"/>
      <c r="Z55" s="104"/>
      <c r="AA55" s="57"/>
      <c r="AB55" s="57"/>
      <c r="AC55" s="57"/>
      <c r="AD55" s="57"/>
      <c r="AE55" s="104"/>
      <c r="AF55" s="104"/>
      <c r="AG55" s="104"/>
      <c r="AH55" s="104"/>
      <c r="AI55" s="104"/>
      <c r="AJ55" s="59"/>
    </row>
    <row r="56" spans="1:36" ht="58">
      <c r="A56" s="61" t="s">
        <v>286</v>
      </c>
      <c r="B56" s="62" t="s">
        <v>267</v>
      </c>
      <c r="C56" s="63" t="s">
        <v>268</v>
      </c>
      <c r="D56" s="64" t="s">
        <v>269</v>
      </c>
      <c r="E56" s="65">
        <v>542.20000000000005</v>
      </c>
      <c r="F56" s="65"/>
      <c r="G56" s="65"/>
      <c r="H56" s="65">
        <v>834.5</v>
      </c>
      <c r="I56" s="65"/>
      <c r="J56" s="65">
        <v>3.42</v>
      </c>
      <c r="K56" s="65">
        <v>1.75</v>
      </c>
      <c r="L56" s="65"/>
      <c r="M56" s="65"/>
      <c r="N56" s="66" t="s">
        <v>270</v>
      </c>
      <c r="O56" s="66">
        <v>0</v>
      </c>
      <c r="P56" s="66">
        <v>1200</v>
      </c>
      <c r="Q56" s="66">
        <v>700</v>
      </c>
      <c r="R56" s="66">
        <v>4</v>
      </c>
      <c r="S56" s="66"/>
      <c r="T56" s="66">
        <v>0</v>
      </c>
      <c r="U56" s="65">
        <v>4.8</v>
      </c>
      <c r="V56" s="65">
        <v>590</v>
      </c>
      <c r="W56" s="65"/>
      <c r="X56" s="65"/>
      <c r="Y56" s="104"/>
      <c r="Z56" s="104"/>
      <c r="AA56" s="65"/>
      <c r="AB56" s="65"/>
      <c r="AC56" s="65">
        <v>184.8</v>
      </c>
      <c r="AD56" s="65"/>
      <c r="AE56" s="104"/>
      <c r="AF56" s="66">
        <v>1034.0999999999999</v>
      </c>
      <c r="AG56" s="66">
        <v>238.6</v>
      </c>
      <c r="AH56" s="66">
        <v>141.6</v>
      </c>
      <c r="AI56" s="92"/>
      <c r="AJ56" s="85"/>
    </row>
    <row r="57" spans="1:36" ht="58">
      <c r="A57" s="61" t="s">
        <v>287</v>
      </c>
      <c r="B57" s="62" t="s">
        <v>288</v>
      </c>
      <c r="C57" s="63" t="s">
        <v>274</v>
      </c>
      <c r="D57" s="64" t="s">
        <v>289</v>
      </c>
      <c r="E57" s="65">
        <v>503.6</v>
      </c>
      <c r="F57" s="65">
        <v>258.2</v>
      </c>
      <c r="G57" s="65"/>
      <c r="H57" s="65">
        <v>880.1</v>
      </c>
      <c r="I57" s="65"/>
      <c r="J57" s="65">
        <v>8.2799999999999994</v>
      </c>
      <c r="K57" s="65">
        <v>2.85</v>
      </c>
      <c r="L57" s="65"/>
      <c r="M57" s="65"/>
      <c r="N57" s="66" t="s">
        <v>270</v>
      </c>
      <c r="O57" s="66">
        <v>0</v>
      </c>
      <c r="P57" s="66">
        <v>1200</v>
      </c>
      <c r="Q57" s="66">
        <v>700</v>
      </c>
      <c r="R57" s="66">
        <v>4</v>
      </c>
      <c r="S57" s="66"/>
      <c r="T57" s="66">
        <v>0</v>
      </c>
      <c r="U57" s="65">
        <v>8.5</v>
      </c>
      <c r="V57" s="65">
        <v>600</v>
      </c>
      <c r="W57" s="65"/>
      <c r="X57" s="65"/>
      <c r="Y57" s="104"/>
      <c r="Z57" s="104"/>
      <c r="AA57" s="65"/>
      <c r="AB57" s="65"/>
      <c r="AC57" s="65">
        <v>134.9</v>
      </c>
      <c r="AD57" s="65"/>
      <c r="AE57" s="104"/>
      <c r="AF57" s="66">
        <v>1608.9</v>
      </c>
      <c r="AG57" s="66">
        <v>377.8</v>
      </c>
      <c r="AH57" s="66">
        <v>261.7</v>
      </c>
      <c r="AI57" s="92"/>
      <c r="AJ57" s="85"/>
    </row>
    <row r="58" spans="1:36" ht="58">
      <c r="A58" s="61" t="s">
        <v>286</v>
      </c>
      <c r="B58" s="62" t="s">
        <v>290</v>
      </c>
      <c r="C58" s="63" t="s">
        <v>274</v>
      </c>
      <c r="D58" s="64" t="s">
        <v>289</v>
      </c>
      <c r="E58" s="65">
        <v>499.4</v>
      </c>
      <c r="F58" s="65"/>
      <c r="G58" s="65"/>
      <c r="H58" s="65">
        <v>876</v>
      </c>
      <c r="I58" s="65"/>
      <c r="J58" s="65">
        <v>7.19</v>
      </c>
      <c r="K58" s="65">
        <v>2.52</v>
      </c>
      <c r="L58" s="65"/>
      <c r="M58" s="65"/>
      <c r="N58" s="66" t="s">
        <v>270</v>
      </c>
      <c r="O58" s="66">
        <v>0</v>
      </c>
      <c r="P58" s="66">
        <v>1200</v>
      </c>
      <c r="Q58" s="66">
        <v>700</v>
      </c>
      <c r="R58" s="66">
        <v>4</v>
      </c>
      <c r="S58" s="66"/>
      <c r="T58" s="66">
        <v>0</v>
      </c>
      <c r="U58" s="65">
        <v>7.7</v>
      </c>
      <c r="V58" s="65">
        <v>591</v>
      </c>
      <c r="W58" s="65"/>
      <c r="X58" s="65"/>
      <c r="Y58" s="104"/>
      <c r="Z58" s="104"/>
      <c r="AA58" s="65"/>
      <c r="AB58" s="65"/>
      <c r="AC58" s="65">
        <v>129.1</v>
      </c>
      <c r="AD58" s="65"/>
      <c r="AE58" s="104"/>
      <c r="AF58" s="66">
        <v>1695.1</v>
      </c>
      <c r="AG58" s="66">
        <v>321</v>
      </c>
      <c r="AH58" s="66">
        <v>199.5</v>
      </c>
      <c r="AI58" s="92"/>
      <c r="AJ58" s="85"/>
    </row>
    <row r="59" spans="1:36" ht="58">
      <c r="A59" s="61" t="s">
        <v>286</v>
      </c>
      <c r="B59" s="62" t="s">
        <v>291</v>
      </c>
      <c r="C59" s="63" t="s">
        <v>274</v>
      </c>
      <c r="D59" s="64" t="s">
        <v>289</v>
      </c>
      <c r="E59" s="65">
        <v>498.1</v>
      </c>
      <c r="F59" s="65"/>
      <c r="G59" s="65"/>
      <c r="H59" s="65">
        <v>855.1</v>
      </c>
      <c r="I59" s="65"/>
      <c r="J59" s="65">
        <v>11.5</v>
      </c>
      <c r="K59" s="65">
        <v>3.3</v>
      </c>
      <c r="L59" s="65"/>
      <c r="M59" s="65"/>
      <c r="N59" s="65" t="s">
        <v>270</v>
      </c>
      <c r="O59" s="65">
        <v>0</v>
      </c>
      <c r="P59" s="65">
        <v>1200</v>
      </c>
      <c r="Q59" s="65">
        <v>700</v>
      </c>
      <c r="R59" s="65">
        <v>4</v>
      </c>
      <c r="S59" s="65"/>
      <c r="T59" s="65">
        <v>0</v>
      </c>
      <c r="U59" s="65">
        <v>8.6999999999999993</v>
      </c>
      <c r="V59" s="65">
        <v>624</v>
      </c>
      <c r="W59" s="65"/>
      <c r="X59" s="65"/>
      <c r="Y59" s="104"/>
      <c r="Z59" s="104"/>
      <c r="AA59" s="65"/>
      <c r="AB59" s="65"/>
      <c r="AC59" s="65">
        <v>117.1</v>
      </c>
      <c r="AD59" s="65"/>
      <c r="AE59" s="104"/>
      <c r="AF59" s="66">
        <v>1326.7</v>
      </c>
      <c r="AG59" s="66">
        <v>531.29999999999995</v>
      </c>
      <c r="AH59" s="66">
        <v>208</v>
      </c>
      <c r="AI59" s="92"/>
      <c r="AJ59" s="85"/>
    </row>
    <row r="60" spans="1:36" ht="58">
      <c r="A60" s="61" t="s">
        <v>287</v>
      </c>
      <c r="B60" s="62" t="s">
        <v>292</v>
      </c>
      <c r="C60" s="63" t="s">
        <v>274</v>
      </c>
      <c r="D60" s="64" t="s">
        <v>289</v>
      </c>
      <c r="E60" s="65"/>
      <c r="F60" s="65"/>
      <c r="G60" s="65">
        <v>66.150000000000006</v>
      </c>
      <c r="H60" s="65">
        <v>830.8</v>
      </c>
      <c r="I60" s="65"/>
      <c r="J60" s="65">
        <v>15.33</v>
      </c>
      <c r="K60" s="65">
        <v>3.82</v>
      </c>
      <c r="L60" s="65"/>
      <c r="M60" s="65"/>
      <c r="N60" s="65" t="s">
        <v>270</v>
      </c>
      <c r="O60" s="65">
        <v>0</v>
      </c>
      <c r="P60" s="65">
        <v>1200</v>
      </c>
      <c r="Q60" s="65">
        <v>700</v>
      </c>
      <c r="R60" s="65">
        <v>4</v>
      </c>
      <c r="S60" s="65"/>
      <c r="T60" s="65">
        <v>0</v>
      </c>
      <c r="U60" s="65">
        <v>7.8</v>
      </c>
      <c r="V60" s="65">
        <v>603</v>
      </c>
      <c r="W60" s="65"/>
      <c r="X60" s="65"/>
      <c r="Y60" s="104"/>
      <c r="Z60" s="104"/>
      <c r="AA60" s="65"/>
      <c r="AB60" s="65"/>
      <c r="AC60" s="65">
        <v>194.9</v>
      </c>
      <c r="AD60" s="65"/>
      <c r="AE60" s="104"/>
      <c r="AF60" s="66">
        <v>1409.1</v>
      </c>
      <c r="AG60" s="66">
        <v>389.2</v>
      </c>
      <c r="AH60" s="66">
        <v>308.8</v>
      </c>
      <c r="AI60" s="92"/>
      <c r="AJ60" s="85"/>
    </row>
    <row r="61" spans="1:36" ht="58">
      <c r="A61" s="61" t="s">
        <v>287</v>
      </c>
      <c r="B61" s="62" t="s">
        <v>293</v>
      </c>
      <c r="C61" s="63" t="s">
        <v>274</v>
      </c>
      <c r="D61" s="64" t="s">
        <v>289</v>
      </c>
      <c r="E61" s="65">
        <v>471.2</v>
      </c>
      <c r="F61" s="65"/>
      <c r="G61" s="65"/>
      <c r="H61" s="65">
        <v>867.2</v>
      </c>
      <c r="I61" s="65"/>
      <c r="J61" s="65">
        <v>4.47</v>
      </c>
      <c r="K61" s="65">
        <v>1.84</v>
      </c>
      <c r="L61" s="65"/>
      <c r="M61" s="65"/>
      <c r="N61" s="65" t="s">
        <v>270</v>
      </c>
      <c r="O61" s="65">
        <v>0</v>
      </c>
      <c r="P61" s="65">
        <v>1200</v>
      </c>
      <c r="Q61" s="65">
        <v>700</v>
      </c>
      <c r="R61" s="65">
        <v>4</v>
      </c>
      <c r="S61" s="65"/>
      <c r="T61" s="65">
        <v>0</v>
      </c>
      <c r="U61" s="65" t="s">
        <v>294</v>
      </c>
      <c r="V61" s="65" t="s">
        <v>294</v>
      </c>
      <c r="W61" s="65" t="s">
        <v>294</v>
      </c>
      <c r="X61" s="65" t="s">
        <v>294</v>
      </c>
      <c r="Y61" s="104" t="s">
        <v>294</v>
      </c>
      <c r="Z61" s="104" t="s">
        <v>294</v>
      </c>
      <c r="AA61" s="65" t="s">
        <v>294</v>
      </c>
      <c r="AB61" s="65" t="s">
        <v>294</v>
      </c>
      <c r="AC61" s="65" t="s">
        <v>294</v>
      </c>
      <c r="AD61" s="65" t="s">
        <v>294</v>
      </c>
      <c r="AE61" s="104" t="s">
        <v>294</v>
      </c>
      <c r="AF61" s="66" t="s">
        <v>294</v>
      </c>
      <c r="AG61" s="66" t="s">
        <v>294</v>
      </c>
      <c r="AH61" s="66" t="s">
        <v>294</v>
      </c>
      <c r="AI61" s="92" t="s">
        <v>294</v>
      </c>
      <c r="AJ61" s="85"/>
    </row>
    <row r="62" spans="1:36" ht="58">
      <c r="A62" s="61" t="s">
        <v>287</v>
      </c>
      <c r="B62" s="62" t="s">
        <v>295</v>
      </c>
      <c r="C62" s="63" t="s">
        <v>274</v>
      </c>
      <c r="D62" s="64" t="s">
        <v>289</v>
      </c>
      <c r="E62" s="65"/>
      <c r="F62" s="65"/>
      <c r="G62" s="65"/>
      <c r="H62" s="65">
        <v>915</v>
      </c>
      <c r="I62" s="65"/>
      <c r="J62" s="65">
        <v>3.03</v>
      </c>
      <c r="K62" s="65">
        <v>1.63</v>
      </c>
      <c r="L62" s="65"/>
      <c r="M62" s="65"/>
      <c r="N62" s="65" t="s">
        <v>270</v>
      </c>
      <c r="O62" s="65">
        <v>0</v>
      </c>
      <c r="P62" s="65">
        <v>1200</v>
      </c>
      <c r="Q62" s="65">
        <v>700</v>
      </c>
      <c r="R62" s="65">
        <v>4</v>
      </c>
      <c r="S62" s="65"/>
      <c r="T62" s="65">
        <v>0</v>
      </c>
      <c r="U62" s="65">
        <v>8.1999999999999993</v>
      </c>
      <c r="V62" s="65">
        <v>642</v>
      </c>
      <c r="W62" s="65"/>
      <c r="X62" s="65"/>
      <c r="Y62" s="104"/>
      <c r="Z62" s="104"/>
      <c r="AA62" s="65"/>
      <c r="AB62" s="65"/>
      <c r="AC62" s="65">
        <v>185</v>
      </c>
      <c r="AD62" s="65"/>
      <c r="AE62" s="104"/>
      <c r="AF62" s="65">
        <v>1593.8</v>
      </c>
      <c r="AG62" s="65">
        <v>289.8</v>
      </c>
      <c r="AH62" s="65">
        <v>178</v>
      </c>
      <c r="AI62" s="104"/>
      <c r="AJ62" s="85"/>
    </row>
    <row r="63" spans="1:36" ht="58">
      <c r="A63" s="61" t="s">
        <v>287</v>
      </c>
      <c r="B63" s="62" t="s">
        <v>296</v>
      </c>
      <c r="C63" s="63" t="s">
        <v>274</v>
      </c>
      <c r="D63" s="64" t="s">
        <v>289</v>
      </c>
      <c r="E63" s="65">
        <v>499.2</v>
      </c>
      <c r="F63" s="65"/>
      <c r="G63" s="65"/>
      <c r="H63" s="65">
        <v>886.8</v>
      </c>
      <c r="I63" s="65"/>
      <c r="J63" s="65">
        <v>2.65</v>
      </c>
      <c r="K63" s="65">
        <v>1.48</v>
      </c>
      <c r="L63" s="65"/>
      <c r="M63" s="65"/>
      <c r="N63" s="65" t="s">
        <v>270</v>
      </c>
      <c r="O63" s="65">
        <v>0</v>
      </c>
      <c r="P63" s="65">
        <v>1200</v>
      </c>
      <c r="Q63" s="65">
        <v>700</v>
      </c>
      <c r="R63" s="65">
        <v>4</v>
      </c>
      <c r="S63" s="65"/>
      <c r="T63" s="65">
        <v>0</v>
      </c>
      <c r="U63" s="65">
        <v>5.0999999999999996</v>
      </c>
      <c r="V63" s="65">
        <v>601</v>
      </c>
      <c r="W63" s="65"/>
      <c r="X63" s="65"/>
      <c r="Y63" s="104"/>
      <c r="Z63" s="104"/>
      <c r="AA63" s="65"/>
      <c r="AB63" s="65"/>
      <c r="AC63" s="65">
        <v>173.6</v>
      </c>
      <c r="AD63" s="65"/>
      <c r="AE63" s="104"/>
      <c r="AF63" s="65">
        <v>1479.2</v>
      </c>
      <c r="AG63" s="65">
        <v>218.7</v>
      </c>
      <c r="AH63" s="65">
        <v>152.30000000000001</v>
      </c>
      <c r="AI63" s="104"/>
      <c r="AJ63" s="85"/>
    </row>
    <row r="64" spans="1:36" ht="58">
      <c r="A64" s="61" t="s">
        <v>287</v>
      </c>
      <c r="B64" s="62" t="s">
        <v>297</v>
      </c>
      <c r="C64" s="63" t="s">
        <v>274</v>
      </c>
      <c r="D64" s="64" t="s">
        <v>289</v>
      </c>
      <c r="E64" s="65"/>
      <c r="F64" s="65"/>
      <c r="G64" s="65"/>
      <c r="H64" s="65"/>
      <c r="I64" s="65"/>
      <c r="J64" s="65">
        <v>2.41</v>
      </c>
      <c r="K64" s="65">
        <v>1.37</v>
      </c>
      <c r="L64" s="65"/>
      <c r="M64" s="65"/>
      <c r="N64" s="65" t="s">
        <v>270</v>
      </c>
      <c r="O64" s="65">
        <v>0</v>
      </c>
      <c r="P64" s="65">
        <v>1200</v>
      </c>
      <c r="Q64" s="65">
        <v>700</v>
      </c>
      <c r="R64" s="65">
        <v>4</v>
      </c>
      <c r="S64" s="65"/>
      <c r="T64" s="65">
        <v>0</v>
      </c>
      <c r="U64" s="65">
        <v>7.7</v>
      </c>
      <c r="V64" s="65">
        <v>654</v>
      </c>
      <c r="W64" s="65"/>
      <c r="X64" s="65"/>
      <c r="Y64" s="104"/>
      <c r="Z64" s="104"/>
      <c r="AA64" s="65"/>
      <c r="AB64" s="65"/>
      <c r="AC64" s="65">
        <v>223</v>
      </c>
      <c r="AD64" s="65"/>
      <c r="AE64" s="104"/>
      <c r="AF64" s="65">
        <v>1773.7</v>
      </c>
      <c r="AG64" s="65">
        <v>198.9</v>
      </c>
      <c r="AH64" s="65">
        <v>143.69999999999999</v>
      </c>
      <c r="AI64" s="104"/>
      <c r="AJ64" s="85"/>
    </row>
    <row r="65" spans="1:36" ht="58">
      <c r="A65" s="61" t="s">
        <v>287</v>
      </c>
      <c r="B65" s="62" t="s">
        <v>298</v>
      </c>
      <c r="C65" s="63" t="s">
        <v>274</v>
      </c>
      <c r="D65" s="64" t="s">
        <v>289</v>
      </c>
      <c r="E65" s="65">
        <v>432</v>
      </c>
      <c r="F65" s="65"/>
      <c r="G65" s="65"/>
      <c r="H65" s="65">
        <v>760.1</v>
      </c>
      <c r="I65" s="65"/>
      <c r="J65" s="65">
        <v>1</v>
      </c>
      <c r="K65" s="65">
        <v>0.84</v>
      </c>
      <c r="L65" s="65"/>
      <c r="M65" s="65"/>
      <c r="N65" s="65" t="s">
        <v>270</v>
      </c>
      <c r="O65" s="65">
        <v>0</v>
      </c>
      <c r="P65" s="65">
        <v>1200</v>
      </c>
      <c r="Q65" s="65">
        <v>700</v>
      </c>
      <c r="R65" s="65">
        <v>4</v>
      </c>
      <c r="S65" s="65"/>
      <c r="T65" s="65">
        <v>0</v>
      </c>
      <c r="U65" s="65">
        <v>13.6</v>
      </c>
      <c r="V65" s="65">
        <v>596</v>
      </c>
      <c r="W65" s="65"/>
      <c r="X65" s="65"/>
      <c r="Y65" s="104"/>
      <c r="Z65" s="104"/>
      <c r="AA65" s="65"/>
      <c r="AB65" s="65"/>
      <c r="AC65" s="65">
        <v>69.3</v>
      </c>
      <c r="AD65" s="65"/>
      <c r="AE65" s="104"/>
      <c r="AF65" s="65">
        <v>537.9</v>
      </c>
      <c r="AG65" s="65">
        <v>965.9</v>
      </c>
      <c r="AH65" s="65">
        <v>778.6</v>
      </c>
      <c r="AI65" s="104"/>
      <c r="AJ65" s="85"/>
    </row>
    <row r="66" spans="1:36" ht="58">
      <c r="A66" s="61" t="s">
        <v>287</v>
      </c>
      <c r="B66" s="62" t="s">
        <v>299</v>
      </c>
      <c r="C66" s="63" t="s">
        <v>274</v>
      </c>
      <c r="D66" s="64" t="s">
        <v>289</v>
      </c>
      <c r="E66" s="65">
        <v>487.8</v>
      </c>
      <c r="F66" s="65">
        <v>315.7</v>
      </c>
      <c r="G66" s="65"/>
      <c r="H66" s="65">
        <v>913.1</v>
      </c>
      <c r="I66" s="65"/>
      <c r="J66" s="65"/>
      <c r="K66" s="65">
        <v>6.17</v>
      </c>
      <c r="L66" s="65"/>
      <c r="M66" s="65"/>
      <c r="N66" s="65" t="s">
        <v>270</v>
      </c>
      <c r="O66" s="65">
        <v>0</v>
      </c>
      <c r="P66" s="65">
        <v>1200</v>
      </c>
      <c r="Q66" s="65">
        <v>700</v>
      </c>
      <c r="R66" s="65">
        <v>4</v>
      </c>
      <c r="S66" s="65"/>
      <c r="T66" s="65">
        <v>0</v>
      </c>
      <c r="U66" s="65">
        <v>9.3000000000000007</v>
      </c>
      <c r="V66" s="65">
        <v>596</v>
      </c>
      <c r="W66" s="65"/>
      <c r="X66" s="65"/>
      <c r="Y66" s="104"/>
      <c r="Z66" s="104"/>
      <c r="AA66" s="65"/>
      <c r="AB66" s="65"/>
      <c r="AC66" s="65">
        <v>84.7</v>
      </c>
      <c r="AD66" s="65"/>
      <c r="AE66" s="104"/>
      <c r="AF66" s="65">
        <v>654.4</v>
      </c>
      <c r="AG66" s="65">
        <v>1164.8</v>
      </c>
      <c r="AH66" s="65">
        <v>615.5</v>
      </c>
      <c r="AI66" s="104"/>
      <c r="AJ66" s="85"/>
    </row>
    <row r="67" spans="1:36" ht="58">
      <c r="A67" s="61" t="s">
        <v>287</v>
      </c>
      <c r="B67" s="62" t="s">
        <v>315</v>
      </c>
      <c r="C67" s="63" t="s">
        <v>274</v>
      </c>
      <c r="D67" s="64" t="s">
        <v>289</v>
      </c>
      <c r="E67" s="65"/>
      <c r="F67" s="65"/>
      <c r="G67" s="65"/>
      <c r="H67" s="65">
        <v>841</v>
      </c>
      <c r="I67" s="65"/>
      <c r="J67" s="65">
        <v>3.29</v>
      </c>
      <c r="K67" s="65">
        <v>1.7</v>
      </c>
      <c r="L67" s="65"/>
      <c r="M67" s="65"/>
      <c r="N67" s="65" t="s">
        <v>270</v>
      </c>
      <c r="O67" s="65">
        <v>0</v>
      </c>
      <c r="P67" s="65">
        <v>1200</v>
      </c>
      <c r="Q67" s="65">
        <v>700</v>
      </c>
      <c r="R67" s="65">
        <v>4</v>
      </c>
      <c r="S67" s="65"/>
      <c r="T67" s="65">
        <v>0</v>
      </c>
      <c r="U67" s="65">
        <v>6.4</v>
      </c>
      <c r="V67" s="65">
        <v>571</v>
      </c>
      <c r="W67" s="65"/>
      <c r="X67" s="65"/>
      <c r="Y67" s="104"/>
      <c r="Z67" s="104"/>
      <c r="AA67" s="65"/>
      <c r="AB67" s="65"/>
      <c r="AC67" s="65">
        <v>210.1</v>
      </c>
      <c r="AD67" s="65"/>
      <c r="AE67" s="104"/>
      <c r="AF67" s="65">
        <v>1634.5</v>
      </c>
      <c r="AG67" s="65">
        <v>224.4</v>
      </c>
      <c r="AH67" s="65">
        <v>145.80000000000001</v>
      </c>
      <c r="AI67" s="104"/>
      <c r="AJ67" s="85"/>
    </row>
    <row r="68" spans="1:36" ht="58">
      <c r="A68" s="61" t="s">
        <v>287</v>
      </c>
      <c r="B68" s="62" t="s">
        <v>301</v>
      </c>
      <c r="C68" s="63" t="s">
        <v>274</v>
      </c>
      <c r="D68" s="64" t="s">
        <v>289</v>
      </c>
      <c r="E68" s="65"/>
      <c r="F68" s="65">
        <v>268.2</v>
      </c>
      <c r="G68" s="65"/>
      <c r="H68" s="65">
        <v>857.7</v>
      </c>
      <c r="I68" s="65"/>
      <c r="J68" s="65">
        <v>15.5</v>
      </c>
      <c r="K68" s="65">
        <v>5.49</v>
      </c>
      <c r="L68" s="65"/>
      <c r="M68" s="65"/>
      <c r="N68" s="65" t="s">
        <v>270</v>
      </c>
      <c r="O68" s="65">
        <v>0</v>
      </c>
      <c r="P68" s="65">
        <v>1200</v>
      </c>
      <c r="Q68" s="65">
        <v>700</v>
      </c>
      <c r="R68" s="65">
        <v>4</v>
      </c>
      <c r="S68" s="65"/>
      <c r="T68" s="65">
        <v>0</v>
      </c>
      <c r="U68" s="65">
        <v>6.7</v>
      </c>
      <c r="V68" s="65">
        <v>591</v>
      </c>
      <c r="W68" s="65"/>
      <c r="X68" s="65"/>
      <c r="Y68" s="104"/>
      <c r="Z68" s="104"/>
      <c r="AA68" s="65"/>
      <c r="AB68" s="65"/>
      <c r="AC68" s="65">
        <v>207.3</v>
      </c>
      <c r="AD68" s="65"/>
      <c r="AE68" s="104"/>
      <c r="AF68" s="65">
        <v>1739.6</v>
      </c>
      <c r="AG68" s="65">
        <v>309.7</v>
      </c>
      <c r="AH68" s="65">
        <v>381.8</v>
      </c>
      <c r="AI68" s="104"/>
      <c r="AJ68" s="85"/>
    </row>
    <row r="69" spans="1:36" ht="58">
      <c r="A69" s="61" t="s">
        <v>287</v>
      </c>
      <c r="B69" s="66" t="s">
        <v>267</v>
      </c>
      <c r="C69" s="63" t="s">
        <v>268</v>
      </c>
      <c r="D69" s="64" t="s">
        <v>269</v>
      </c>
      <c r="E69" s="65">
        <v>542.20000000000005</v>
      </c>
      <c r="F69" s="65"/>
      <c r="G69" s="65"/>
      <c r="H69" s="65">
        <v>834.5</v>
      </c>
      <c r="I69" s="65"/>
      <c r="J69" s="65">
        <v>3.42</v>
      </c>
      <c r="K69" s="65">
        <v>1.75</v>
      </c>
      <c r="L69" s="65"/>
      <c r="M69" s="65"/>
      <c r="N69" s="65" t="s">
        <v>270</v>
      </c>
      <c r="O69" s="65">
        <v>0</v>
      </c>
      <c r="P69" s="65">
        <v>1200</v>
      </c>
      <c r="Q69" s="65">
        <v>450</v>
      </c>
      <c r="R69" s="65">
        <v>4.09</v>
      </c>
      <c r="S69" s="65"/>
      <c r="T69" s="65">
        <v>0</v>
      </c>
      <c r="U69" s="65">
        <v>7.5</v>
      </c>
      <c r="V69" s="65">
        <v>686</v>
      </c>
      <c r="W69" s="65"/>
      <c r="X69" s="65"/>
      <c r="Y69" s="104"/>
      <c r="Z69" s="104"/>
      <c r="AA69" s="65"/>
      <c r="AB69" s="65"/>
      <c r="AC69" s="65"/>
      <c r="AD69" s="65"/>
      <c r="AE69" s="104"/>
      <c r="AF69" s="104"/>
      <c r="AG69" s="104"/>
      <c r="AH69" s="104"/>
      <c r="AI69" s="104"/>
      <c r="AJ69" s="67"/>
    </row>
    <row r="70" spans="1:36" ht="58">
      <c r="A70" s="61" t="s">
        <v>287</v>
      </c>
      <c r="B70" s="62" t="s">
        <v>302</v>
      </c>
      <c r="C70" s="63" t="s">
        <v>274</v>
      </c>
      <c r="D70" s="64" t="s">
        <v>303</v>
      </c>
      <c r="E70" s="65"/>
      <c r="F70" s="65"/>
      <c r="G70" s="65"/>
      <c r="H70" s="65"/>
      <c r="I70" s="65"/>
      <c r="J70" s="65"/>
      <c r="K70" s="65"/>
      <c r="L70" s="65"/>
      <c r="M70" s="65"/>
      <c r="N70" s="65" t="s">
        <v>270</v>
      </c>
      <c r="O70" s="65">
        <v>0</v>
      </c>
      <c r="P70" s="65">
        <v>1200</v>
      </c>
      <c r="Q70" s="65">
        <v>450</v>
      </c>
      <c r="R70" s="65">
        <v>4.09</v>
      </c>
      <c r="S70" s="65"/>
      <c r="T70" s="65">
        <v>0</v>
      </c>
      <c r="U70" s="65">
        <v>8</v>
      </c>
      <c r="V70" s="65">
        <v>736</v>
      </c>
      <c r="W70" s="65"/>
      <c r="X70" s="65"/>
      <c r="Y70" s="104"/>
      <c r="Z70" s="104"/>
      <c r="AA70" s="65"/>
      <c r="AB70" s="65"/>
      <c r="AC70" s="65"/>
      <c r="AD70" s="65"/>
      <c r="AE70" s="104"/>
      <c r="AF70" s="104"/>
      <c r="AG70" s="104"/>
      <c r="AH70" s="104"/>
      <c r="AI70" s="104"/>
      <c r="AJ70" s="67"/>
    </row>
    <row r="71" spans="1:36" ht="58">
      <c r="A71" s="61" t="s">
        <v>287</v>
      </c>
      <c r="B71" s="62" t="s">
        <v>304</v>
      </c>
      <c r="C71" s="63" t="s">
        <v>274</v>
      </c>
      <c r="D71" s="64" t="s">
        <v>303</v>
      </c>
      <c r="E71" s="65"/>
      <c r="F71" s="65"/>
      <c r="G71" s="65"/>
      <c r="H71" s="65"/>
      <c r="I71" s="65"/>
      <c r="J71" s="65"/>
      <c r="K71" s="65"/>
      <c r="L71" s="65"/>
      <c r="M71" s="65"/>
      <c r="N71" s="65" t="s">
        <v>270</v>
      </c>
      <c r="O71" s="65">
        <v>0</v>
      </c>
      <c r="P71" s="65">
        <v>1200</v>
      </c>
      <c r="Q71" s="65">
        <v>450</v>
      </c>
      <c r="R71" s="65">
        <v>4.09</v>
      </c>
      <c r="S71" s="65"/>
      <c r="T71" s="65">
        <v>0</v>
      </c>
      <c r="U71" s="65">
        <v>8.3000000000000007</v>
      </c>
      <c r="V71" s="65">
        <v>737</v>
      </c>
      <c r="W71" s="65"/>
      <c r="X71" s="65"/>
      <c r="Y71" s="104"/>
      <c r="Z71" s="104"/>
      <c r="AA71" s="65"/>
      <c r="AB71" s="65"/>
      <c r="AC71" s="65"/>
      <c r="AD71" s="65"/>
      <c r="AE71" s="104"/>
      <c r="AF71" s="104"/>
      <c r="AG71" s="104"/>
      <c r="AH71" s="104"/>
      <c r="AI71" s="104"/>
      <c r="AJ71" s="67"/>
    </row>
    <row r="72" spans="1:36" ht="58">
      <c r="A72" s="61" t="s">
        <v>287</v>
      </c>
      <c r="B72" s="62" t="s">
        <v>305</v>
      </c>
      <c r="C72" s="63" t="s">
        <v>274</v>
      </c>
      <c r="D72" s="64" t="s">
        <v>303</v>
      </c>
      <c r="E72" s="65"/>
      <c r="F72" s="65"/>
      <c r="G72" s="65"/>
      <c r="H72" s="65"/>
      <c r="I72" s="65"/>
      <c r="J72" s="65"/>
      <c r="K72" s="65"/>
      <c r="L72" s="65"/>
      <c r="M72" s="65"/>
      <c r="N72" s="65" t="s">
        <v>270</v>
      </c>
      <c r="O72" s="65">
        <v>0</v>
      </c>
      <c r="P72" s="65">
        <v>1200</v>
      </c>
      <c r="Q72" s="65">
        <v>450</v>
      </c>
      <c r="R72" s="65">
        <v>4.09</v>
      </c>
      <c r="S72" s="65"/>
      <c r="T72" s="65">
        <v>0</v>
      </c>
      <c r="U72" s="65">
        <v>8.6999999999999993</v>
      </c>
      <c r="V72" s="65">
        <v>741</v>
      </c>
      <c r="W72" s="65"/>
      <c r="X72" s="65"/>
      <c r="Y72" s="104"/>
      <c r="Z72" s="104"/>
      <c r="AA72" s="65"/>
      <c r="AB72" s="65"/>
      <c r="AC72" s="65"/>
      <c r="AD72" s="65"/>
      <c r="AE72" s="104"/>
      <c r="AF72" s="104"/>
      <c r="AG72" s="104"/>
      <c r="AH72" s="104"/>
      <c r="AI72" s="104"/>
      <c r="AJ72" s="67"/>
    </row>
    <row r="73" spans="1:36" ht="58">
      <c r="A73" s="61" t="s">
        <v>287</v>
      </c>
      <c r="B73" s="62" t="s">
        <v>306</v>
      </c>
      <c r="C73" s="63" t="s">
        <v>274</v>
      </c>
      <c r="D73" s="64" t="s">
        <v>303</v>
      </c>
      <c r="E73" s="65"/>
      <c r="F73" s="65"/>
      <c r="G73" s="65"/>
      <c r="H73" s="65"/>
      <c r="I73" s="65"/>
      <c r="J73" s="65"/>
      <c r="K73" s="65"/>
      <c r="L73" s="65"/>
      <c r="M73" s="65"/>
      <c r="N73" s="65" t="s">
        <v>270</v>
      </c>
      <c r="O73" s="65">
        <v>0</v>
      </c>
      <c r="P73" s="65">
        <v>1200</v>
      </c>
      <c r="Q73" s="65">
        <v>450</v>
      </c>
      <c r="R73" s="65">
        <v>4.09</v>
      </c>
      <c r="S73" s="65"/>
      <c r="T73" s="65">
        <v>0</v>
      </c>
      <c r="U73" s="65">
        <v>9.9</v>
      </c>
      <c r="V73" s="65">
        <v>735</v>
      </c>
      <c r="W73" s="65"/>
      <c r="X73" s="65"/>
      <c r="Y73" s="104"/>
      <c r="Z73" s="104"/>
      <c r="AA73" s="65"/>
      <c r="AB73" s="65"/>
      <c r="AC73" s="65"/>
      <c r="AD73" s="65"/>
      <c r="AE73" s="104"/>
      <c r="AF73" s="104"/>
      <c r="AG73" s="104"/>
      <c r="AH73" s="104"/>
      <c r="AI73" s="104"/>
      <c r="AJ73" s="67"/>
    </row>
    <row r="74" spans="1:36" ht="58">
      <c r="A74" s="61" t="s">
        <v>287</v>
      </c>
      <c r="B74" s="62" t="s">
        <v>307</v>
      </c>
      <c r="C74" s="63" t="s">
        <v>274</v>
      </c>
      <c r="D74" s="64" t="s">
        <v>303</v>
      </c>
      <c r="E74" s="65"/>
      <c r="F74" s="65"/>
      <c r="G74" s="65"/>
      <c r="H74" s="65"/>
      <c r="I74" s="65"/>
      <c r="J74" s="65"/>
      <c r="K74" s="65"/>
      <c r="L74" s="65"/>
      <c r="M74" s="65"/>
      <c r="N74" s="65" t="s">
        <v>270</v>
      </c>
      <c r="O74" s="65">
        <v>0</v>
      </c>
      <c r="P74" s="65">
        <v>1200</v>
      </c>
      <c r="Q74" s="65">
        <v>450</v>
      </c>
      <c r="R74" s="65">
        <v>4.09</v>
      </c>
      <c r="S74" s="65"/>
      <c r="T74" s="65">
        <v>0</v>
      </c>
      <c r="U74" s="65">
        <v>10.7</v>
      </c>
      <c r="V74" s="65">
        <v>742</v>
      </c>
      <c r="W74" s="65"/>
      <c r="X74" s="65"/>
      <c r="Y74" s="104"/>
      <c r="Z74" s="104"/>
      <c r="AA74" s="65"/>
      <c r="AB74" s="65"/>
      <c r="AC74" s="65"/>
      <c r="AD74" s="65"/>
      <c r="AE74" s="104"/>
      <c r="AF74" s="104"/>
      <c r="AG74" s="104"/>
      <c r="AH74" s="104"/>
      <c r="AI74" s="104"/>
      <c r="AJ74" s="67"/>
    </row>
    <row r="75" spans="1:36" ht="58">
      <c r="A75" s="61" t="s">
        <v>287</v>
      </c>
      <c r="B75" s="68" t="s">
        <v>308</v>
      </c>
      <c r="C75" s="63" t="s">
        <v>274</v>
      </c>
      <c r="D75" s="64" t="s">
        <v>303</v>
      </c>
      <c r="E75" s="65"/>
      <c r="F75" s="65"/>
      <c r="G75" s="65"/>
      <c r="H75" s="65"/>
      <c r="I75" s="65"/>
      <c r="J75" s="65"/>
      <c r="K75" s="65"/>
      <c r="L75" s="65"/>
      <c r="M75" s="65"/>
      <c r="N75" s="65" t="s">
        <v>270</v>
      </c>
      <c r="O75" s="65">
        <v>0</v>
      </c>
      <c r="P75" s="65">
        <v>1200</v>
      </c>
      <c r="Q75" s="65">
        <v>450</v>
      </c>
      <c r="R75" s="65">
        <v>4.09</v>
      </c>
      <c r="S75" s="65"/>
      <c r="T75" s="65">
        <v>0</v>
      </c>
      <c r="U75" s="65">
        <v>10.9</v>
      </c>
      <c r="V75" s="65">
        <v>751</v>
      </c>
      <c r="W75" s="65"/>
      <c r="X75" s="65"/>
      <c r="Y75" s="104"/>
      <c r="Z75" s="104"/>
      <c r="AA75" s="65"/>
      <c r="AB75" s="65"/>
      <c r="AC75" s="65"/>
      <c r="AD75" s="65"/>
      <c r="AE75" s="104"/>
      <c r="AF75" s="104"/>
      <c r="AG75" s="104"/>
      <c r="AH75" s="104"/>
      <c r="AI75" s="104"/>
      <c r="AJ75" s="67"/>
    </row>
    <row r="76" spans="1:36" ht="58">
      <c r="A76" s="61" t="s">
        <v>287</v>
      </c>
      <c r="B76" s="62" t="s">
        <v>309</v>
      </c>
      <c r="C76" s="63" t="s">
        <v>274</v>
      </c>
      <c r="D76" s="64" t="s">
        <v>303</v>
      </c>
      <c r="E76" s="65"/>
      <c r="F76" s="65"/>
      <c r="G76" s="65"/>
      <c r="H76" s="65"/>
      <c r="I76" s="65"/>
      <c r="J76" s="65"/>
      <c r="K76" s="65"/>
      <c r="L76" s="65"/>
      <c r="M76" s="65"/>
      <c r="N76" s="65" t="s">
        <v>270</v>
      </c>
      <c r="O76" s="65">
        <v>0</v>
      </c>
      <c r="P76" s="65">
        <v>1200</v>
      </c>
      <c r="Q76" s="65">
        <v>450</v>
      </c>
      <c r="R76" s="65">
        <v>4.09</v>
      </c>
      <c r="S76" s="65"/>
      <c r="T76" s="65">
        <v>0</v>
      </c>
      <c r="U76" s="65">
        <v>7.4</v>
      </c>
      <c r="V76" s="65">
        <v>639</v>
      </c>
      <c r="W76" s="65"/>
      <c r="X76" s="65"/>
      <c r="Y76" s="104"/>
      <c r="Z76" s="104"/>
      <c r="AA76" s="65"/>
      <c r="AB76" s="65"/>
      <c r="AC76" s="65"/>
      <c r="AD76" s="65"/>
      <c r="AE76" s="104"/>
      <c r="AF76" s="104"/>
      <c r="AG76" s="104"/>
      <c r="AH76" s="104"/>
      <c r="AI76" s="104"/>
      <c r="AJ76" s="67"/>
    </row>
    <row r="77" spans="1:36" ht="58">
      <c r="A77" s="61" t="s">
        <v>287</v>
      </c>
      <c r="B77" s="62" t="s">
        <v>310</v>
      </c>
      <c r="C77" s="63" t="s">
        <v>274</v>
      </c>
      <c r="D77" s="64" t="s">
        <v>303</v>
      </c>
      <c r="E77" s="65"/>
      <c r="F77" s="65"/>
      <c r="G77" s="65"/>
      <c r="H77" s="65"/>
      <c r="I77" s="65"/>
      <c r="J77" s="65"/>
      <c r="K77" s="65"/>
      <c r="L77" s="65"/>
      <c r="M77" s="65"/>
      <c r="N77" s="65" t="s">
        <v>270</v>
      </c>
      <c r="O77" s="65">
        <v>0</v>
      </c>
      <c r="P77" s="65">
        <v>1200</v>
      </c>
      <c r="Q77" s="65">
        <v>450</v>
      </c>
      <c r="R77" s="65">
        <v>4.09</v>
      </c>
      <c r="S77" s="65"/>
      <c r="T77" s="65">
        <v>0</v>
      </c>
      <c r="U77" s="65">
        <v>7.6</v>
      </c>
      <c r="V77" s="65">
        <v>642</v>
      </c>
      <c r="W77" s="65"/>
      <c r="X77" s="65"/>
      <c r="Y77" s="104"/>
      <c r="Z77" s="104"/>
      <c r="AA77" s="65"/>
      <c r="AB77" s="65"/>
      <c r="AC77" s="65"/>
      <c r="AD77" s="65"/>
      <c r="AE77" s="104"/>
      <c r="AF77" s="104"/>
      <c r="AG77" s="104"/>
      <c r="AH77" s="104"/>
      <c r="AI77" s="104"/>
      <c r="AJ77" s="67"/>
    </row>
    <row r="78" spans="1:36" ht="58">
      <c r="A78" s="61" t="s">
        <v>287</v>
      </c>
      <c r="B78" s="62" t="s">
        <v>311</v>
      </c>
      <c r="C78" s="63" t="s">
        <v>274</v>
      </c>
      <c r="D78" s="64" t="s">
        <v>303</v>
      </c>
      <c r="E78" s="65"/>
      <c r="F78" s="65"/>
      <c r="G78" s="65"/>
      <c r="H78" s="65"/>
      <c r="I78" s="65"/>
      <c r="J78" s="65"/>
      <c r="K78" s="65"/>
      <c r="L78" s="65"/>
      <c r="M78" s="65"/>
      <c r="N78" s="65" t="s">
        <v>270</v>
      </c>
      <c r="O78" s="65">
        <v>0</v>
      </c>
      <c r="P78" s="65">
        <v>1200</v>
      </c>
      <c r="Q78" s="65">
        <v>450</v>
      </c>
      <c r="R78" s="65">
        <v>4.09</v>
      </c>
      <c r="S78" s="65"/>
      <c r="T78" s="65">
        <v>0</v>
      </c>
      <c r="U78" s="65">
        <v>8</v>
      </c>
      <c r="V78" s="65">
        <v>635</v>
      </c>
      <c r="W78" s="65"/>
      <c r="X78" s="65"/>
      <c r="Y78" s="104"/>
      <c r="Z78" s="104"/>
      <c r="AA78" s="65"/>
      <c r="AB78" s="65"/>
      <c r="AC78" s="65"/>
      <c r="AD78" s="65"/>
      <c r="AE78" s="104"/>
      <c r="AF78" s="104"/>
      <c r="AG78" s="104"/>
      <c r="AH78" s="104"/>
      <c r="AI78" s="104"/>
      <c r="AJ78" s="67"/>
    </row>
    <row r="79" spans="1:36" ht="58">
      <c r="A79" s="61" t="s">
        <v>287</v>
      </c>
      <c r="B79" s="62" t="s">
        <v>312</v>
      </c>
      <c r="C79" s="63" t="s">
        <v>274</v>
      </c>
      <c r="D79" s="64" t="s">
        <v>303</v>
      </c>
      <c r="E79" s="65"/>
      <c r="F79" s="65"/>
      <c r="G79" s="65"/>
      <c r="H79" s="65"/>
      <c r="I79" s="65"/>
      <c r="J79" s="65"/>
      <c r="K79" s="65"/>
      <c r="L79" s="65"/>
      <c r="M79" s="65"/>
      <c r="N79" s="65" t="s">
        <v>270</v>
      </c>
      <c r="O79" s="65">
        <v>0</v>
      </c>
      <c r="P79" s="65">
        <v>1200</v>
      </c>
      <c r="Q79" s="65">
        <v>450</v>
      </c>
      <c r="R79" s="65">
        <v>4.09</v>
      </c>
      <c r="S79" s="65"/>
      <c r="T79" s="65">
        <v>0</v>
      </c>
      <c r="U79" s="65">
        <v>9</v>
      </c>
      <c r="V79" s="65">
        <v>647</v>
      </c>
      <c r="W79" s="65"/>
      <c r="X79" s="65"/>
      <c r="Y79" s="104"/>
      <c r="Z79" s="104"/>
      <c r="AA79" s="65"/>
      <c r="AB79" s="65"/>
      <c r="AC79" s="65"/>
      <c r="AD79" s="65"/>
      <c r="AE79" s="104"/>
      <c r="AF79" s="104"/>
      <c r="AG79" s="104"/>
      <c r="AH79" s="104"/>
      <c r="AI79" s="104"/>
      <c r="AJ79" s="67"/>
    </row>
    <row r="80" spans="1:36" ht="58">
      <c r="A80" s="61" t="s">
        <v>287</v>
      </c>
      <c r="B80" s="62" t="s">
        <v>313</v>
      </c>
      <c r="C80" s="63" t="s">
        <v>274</v>
      </c>
      <c r="D80" s="64" t="s">
        <v>303</v>
      </c>
      <c r="E80" s="65"/>
      <c r="F80" s="65"/>
      <c r="G80" s="65"/>
      <c r="H80" s="65"/>
      <c r="I80" s="65"/>
      <c r="J80" s="65"/>
      <c r="K80" s="65"/>
      <c r="L80" s="65"/>
      <c r="M80" s="65"/>
      <c r="N80" s="65" t="s">
        <v>270</v>
      </c>
      <c r="O80" s="65">
        <v>0</v>
      </c>
      <c r="P80" s="65">
        <v>1200</v>
      </c>
      <c r="Q80" s="65">
        <v>450</v>
      </c>
      <c r="R80" s="65">
        <v>4.09</v>
      </c>
      <c r="S80" s="65"/>
      <c r="T80" s="65">
        <v>0</v>
      </c>
      <c r="U80" s="65">
        <v>9.6999999999999993</v>
      </c>
      <c r="V80" s="65">
        <v>652</v>
      </c>
      <c r="W80" s="65"/>
      <c r="X80" s="65"/>
      <c r="Y80" s="104"/>
      <c r="Z80" s="104"/>
      <c r="AA80" s="65"/>
      <c r="AB80" s="65"/>
      <c r="AC80" s="65"/>
      <c r="AD80" s="65"/>
      <c r="AE80" s="104"/>
      <c r="AF80" s="104"/>
      <c r="AG80" s="104"/>
      <c r="AH80" s="104"/>
      <c r="AI80" s="104"/>
      <c r="AJ80" s="67"/>
    </row>
    <row r="81" spans="1:36" ht="58">
      <c r="A81" s="61" t="s">
        <v>287</v>
      </c>
      <c r="B81" s="62" t="s">
        <v>314</v>
      </c>
      <c r="C81" s="63" t="s">
        <v>274</v>
      </c>
      <c r="D81" s="64" t="s">
        <v>303</v>
      </c>
      <c r="E81" s="65"/>
      <c r="F81" s="65"/>
      <c r="G81" s="65"/>
      <c r="H81" s="65"/>
      <c r="I81" s="65"/>
      <c r="J81" s="65"/>
      <c r="K81" s="65"/>
      <c r="L81" s="65"/>
      <c r="M81" s="65"/>
      <c r="N81" s="65" t="s">
        <v>270</v>
      </c>
      <c r="O81" s="65">
        <v>0</v>
      </c>
      <c r="P81" s="65">
        <v>1200</v>
      </c>
      <c r="Q81" s="65">
        <v>450</v>
      </c>
      <c r="R81" s="65">
        <v>4.09</v>
      </c>
      <c r="S81" s="65"/>
      <c r="T81" s="65">
        <v>0</v>
      </c>
      <c r="U81" s="65">
        <v>10.1</v>
      </c>
      <c r="V81" s="65">
        <v>655</v>
      </c>
      <c r="W81" s="65"/>
      <c r="X81" s="65"/>
      <c r="Y81" s="104"/>
      <c r="Z81" s="104"/>
      <c r="AA81" s="65"/>
      <c r="AB81" s="65"/>
      <c r="AC81" s="65"/>
      <c r="AD81" s="65"/>
      <c r="AE81" s="104"/>
      <c r="AF81" s="104"/>
      <c r="AG81" s="104"/>
      <c r="AH81" s="104"/>
      <c r="AI81" s="104"/>
      <c r="AJ81" s="67"/>
    </row>
    <row r="82" spans="1:36" ht="87">
      <c r="A82" s="69" t="s">
        <v>316</v>
      </c>
      <c r="B82" s="70" t="s">
        <v>267</v>
      </c>
      <c r="C82" s="71" t="s">
        <v>268</v>
      </c>
      <c r="D82" s="72" t="s">
        <v>269</v>
      </c>
      <c r="E82" s="73">
        <v>541.9</v>
      </c>
      <c r="F82" s="73"/>
      <c r="G82" s="73"/>
      <c r="H82" s="73">
        <v>834.5</v>
      </c>
      <c r="I82" s="73"/>
      <c r="J82" s="73"/>
      <c r="K82" s="73"/>
      <c r="L82" s="73">
        <v>43.14</v>
      </c>
      <c r="M82" s="73">
        <v>51.7</v>
      </c>
      <c r="N82" s="73" t="s">
        <v>270</v>
      </c>
      <c r="O82" s="73">
        <v>0</v>
      </c>
      <c r="P82" s="73">
        <v>1200</v>
      </c>
      <c r="Q82" s="73">
        <v>450</v>
      </c>
      <c r="R82" s="73">
        <v>4</v>
      </c>
      <c r="S82" s="73">
        <v>7.5</v>
      </c>
      <c r="T82" s="73"/>
      <c r="U82" s="73">
        <v>7.5</v>
      </c>
      <c r="V82" s="73">
        <v>613</v>
      </c>
      <c r="W82" s="73">
        <v>43.16</v>
      </c>
      <c r="X82" s="73">
        <v>0.39700000000000002</v>
      </c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83"/>
    </row>
    <row r="83" spans="1:36" ht="87">
      <c r="A83" s="69" t="s">
        <v>316</v>
      </c>
      <c r="B83" s="70" t="s">
        <v>204</v>
      </c>
      <c r="C83" s="71" t="s">
        <v>268</v>
      </c>
      <c r="D83" s="72" t="s">
        <v>317</v>
      </c>
      <c r="E83" s="73">
        <v>371.6</v>
      </c>
      <c r="F83" s="73">
        <v>182.6</v>
      </c>
      <c r="G83" s="73">
        <v>32.17</v>
      </c>
      <c r="H83" s="73">
        <v>684.06</v>
      </c>
      <c r="I83" s="73"/>
      <c r="J83" s="73">
        <v>0.41</v>
      </c>
      <c r="K83" s="73"/>
      <c r="L83" s="73">
        <v>44.5</v>
      </c>
      <c r="M83" s="73">
        <v>54.4</v>
      </c>
      <c r="N83" s="73" t="s">
        <v>270</v>
      </c>
      <c r="O83" s="73">
        <v>0</v>
      </c>
      <c r="P83" s="73">
        <v>1200</v>
      </c>
      <c r="Q83" s="73">
        <v>450</v>
      </c>
      <c r="R83" s="73">
        <v>4</v>
      </c>
      <c r="S83" s="73">
        <v>7.5</v>
      </c>
      <c r="T83" s="73"/>
      <c r="U83" s="73">
        <v>7.1</v>
      </c>
      <c r="V83" s="73">
        <v>655</v>
      </c>
      <c r="W83" s="73">
        <v>42.67</v>
      </c>
      <c r="X83" s="73">
        <v>0.42199999999999999</v>
      </c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83"/>
    </row>
    <row r="84" spans="1:36" ht="87">
      <c r="A84" s="69" t="s">
        <v>316</v>
      </c>
      <c r="B84" s="70" t="s">
        <v>318</v>
      </c>
      <c r="C84" s="71" t="s">
        <v>268</v>
      </c>
      <c r="D84" s="72" t="s">
        <v>319</v>
      </c>
      <c r="E84" s="73"/>
      <c r="F84" s="73"/>
      <c r="G84" s="73"/>
      <c r="H84" s="73"/>
      <c r="I84" s="73"/>
      <c r="J84" s="73"/>
      <c r="K84" s="73"/>
      <c r="L84" s="73"/>
      <c r="M84" s="73"/>
      <c r="N84" s="73" t="s">
        <v>270</v>
      </c>
      <c r="O84" s="73">
        <v>0</v>
      </c>
      <c r="P84" s="73">
        <v>1200</v>
      </c>
      <c r="Q84" s="73">
        <v>450</v>
      </c>
      <c r="R84" s="73">
        <v>4</v>
      </c>
      <c r="S84" s="73">
        <v>7.5</v>
      </c>
      <c r="T84" s="73"/>
      <c r="U84" s="73">
        <v>7.3</v>
      </c>
      <c r="V84" s="73">
        <v>644</v>
      </c>
      <c r="W84" s="73">
        <v>42.95</v>
      </c>
      <c r="X84" s="73">
        <v>0.42</v>
      </c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4"/>
    </row>
    <row r="85" spans="1:36" ht="87">
      <c r="A85" s="69" t="s">
        <v>316</v>
      </c>
      <c r="B85" s="70" t="s">
        <v>320</v>
      </c>
      <c r="C85" s="71" t="s">
        <v>268</v>
      </c>
      <c r="D85" s="72" t="s">
        <v>319</v>
      </c>
      <c r="E85" s="73"/>
      <c r="F85" s="73"/>
      <c r="G85" s="73"/>
      <c r="H85" s="73"/>
      <c r="I85" s="73"/>
      <c r="J85" s="73"/>
      <c r="K85" s="73"/>
      <c r="L85" s="73"/>
      <c r="M85" s="73"/>
      <c r="N85" s="73" t="s">
        <v>270</v>
      </c>
      <c r="O85" s="73">
        <v>0</v>
      </c>
      <c r="P85" s="73">
        <v>1200</v>
      </c>
      <c r="Q85" s="73">
        <v>450</v>
      </c>
      <c r="R85" s="73">
        <v>4</v>
      </c>
      <c r="S85" s="73">
        <v>7.5</v>
      </c>
      <c r="T85" s="73"/>
      <c r="U85" s="73">
        <v>7.5</v>
      </c>
      <c r="V85" s="73">
        <v>658</v>
      </c>
      <c r="W85" s="73">
        <v>42.75</v>
      </c>
      <c r="X85" s="73">
        <v>0.41599999999999998</v>
      </c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4"/>
    </row>
    <row r="86" spans="1:36" ht="87">
      <c r="A86" s="69" t="s">
        <v>316</v>
      </c>
      <c r="B86" s="70" t="s">
        <v>321</v>
      </c>
      <c r="C86" s="71" t="s">
        <v>268</v>
      </c>
      <c r="D86" s="72" t="s">
        <v>319</v>
      </c>
      <c r="E86" s="73"/>
      <c r="F86" s="73"/>
      <c r="G86" s="73"/>
      <c r="H86" s="73"/>
      <c r="I86" s="73"/>
      <c r="J86" s="73"/>
      <c r="K86" s="73"/>
      <c r="L86" s="73"/>
      <c r="M86" s="73"/>
      <c r="N86" s="73" t="s">
        <v>270</v>
      </c>
      <c r="O86" s="73">
        <v>0</v>
      </c>
      <c r="P86" s="73">
        <v>1200</v>
      </c>
      <c r="Q86" s="73">
        <v>450</v>
      </c>
      <c r="R86" s="73">
        <v>4</v>
      </c>
      <c r="S86" s="73">
        <v>7.5</v>
      </c>
      <c r="T86" s="73"/>
      <c r="U86" s="73">
        <v>8.1</v>
      </c>
      <c r="V86" s="73">
        <v>650</v>
      </c>
      <c r="W86" s="73">
        <v>42.84</v>
      </c>
      <c r="X86" s="73">
        <v>0.40500000000000003</v>
      </c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4"/>
    </row>
    <row r="87" spans="1:36" ht="87">
      <c r="A87" s="69" t="s">
        <v>316</v>
      </c>
      <c r="B87" s="70" t="s">
        <v>322</v>
      </c>
      <c r="C87" s="71" t="s">
        <v>268</v>
      </c>
      <c r="D87" s="72" t="s">
        <v>319</v>
      </c>
      <c r="E87" s="73"/>
      <c r="F87" s="73"/>
      <c r="G87" s="73"/>
      <c r="H87" s="73"/>
      <c r="I87" s="73"/>
      <c r="J87" s="73"/>
      <c r="K87" s="73"/>
      <c r="L87" s="73"/>
      <c r="M87" s="73"/>
      <c r="N87" s="73" t="s">
        <v>270</v>
      </c>
      <c r="O87" s="73">
        <v>0</v>
      </c>
      <c r="P87" s="73">
        <v>1200</v>
      </c>
      <c r="Q87" s="73">
        <v>450</v>
      </c>
      <c r="R87" s="73">
        <v>4</v>
      </c>
      <c r="S87" s="73">
        <v>7.5</v>
      </c>
      <c r="T87" s="73"/>
      <c r="U87" s="73">
        <v>8.6999999999999993</v>
      </c>
      <c r="V87" s="73">
        <v>642</v>
      </c>
      <c r="W87" s="73">
        <v>43.28</v>
      </c>
      <c r="X87" s="73">
        <v>0.39700000000000002</v>
      </c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4"/>
    </row>
    <row r="88" spans="1:36" ht="87">
      <c r="A88" s="69" t="s">
        <v>316</v>
      </c>
      <c r="B88" s="70" t="s">
        <v>323</v>
      </c>
      <c r="C88" s="71" t="s">
        <v>268</v>
      </c>
      <c r="D88" s="72" t="s">
        <v>319</v>
      </c>
      <c r="E88" s="73"/>
      <c r="F88" s="73"/>
      <c r="G88" s="73"/>
      <c r="H88" s="73"/>
      <c r="I88" s="73"/>
      <c r="J88" s="73"/>
      <c r="K88" s="73"/>
      <c r="L88" s="73"/>
      <c r="M88" s="73"/>
      <c r="N88" s="73" t="s">
        <v>270</v>
      </c>
      <c r="O88" s="73">
        <v>0</v>
      </c>
      <c r="P88" s="73">
        <v>1200</v>
      </c>
      <c r="Q88" s="73">
        <v>450</v>
      </c>
      <c r="R88" s="73">
        <v>4</v>
      </c>
      <c r="S88" s="73">
        <v>7.5</v>
      </c>
      <c r="T88" s="73"/>
      <c r="U88" s="73">
        <v>8.9</v>
      </c>
      <c r="V88" s="73">
        <v>628</v>
      </c>
      <c r="W88" s="73">
        <v>44.09</v>
      </c>
      <c r="X88" s="73">
        <v>0.4</v>
      </c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4"/>
    </row>
    <row r="89" spans="1:36" ht="87">
      <c r="A89" s="69" t="s">
        <v>316</v>
      </c>
      <c r="B89" s="70" t="s">
        <v>324</v>
      </c>
      <c r="C89" s="71" t="s">
        <v>268</v>
      </c>
      <c r="D89" s="72" t="s">
        <v>319</v>
      </c>
      <c r="E89" s="73"/>
      <c r="F89" s="73"/>
      <c r="G89" s="73"/>
      <c r="H89" s="73"/>
      <c r="I89" s="73"/>
      <c r="J89" s="73"/>
      <c r="K89" s="73"/>
      <c r="L89" s="73"/>
      <c r="M89" s="73"/>
      <c r="N89" s="73" t="s">
        <v>270</v>
      </c>
      <c r="O89" s="73">
        <v>0</v>
      </c>
      <c r="P89" s="73">
        <v>1200</v>
      </c>
      <c r="Q89" s="73">
        <v>450</v>
      </c>
      <c r="R89" s="73">
        <v>4</v>
      </c>
      <c r="S89" s="73">
        <v>7.5</v>
      </c>
      <c r="T89" s="73"/>
      <c r="U89" s="73">
        <v>9.3000000000000007</v>
      </c>
      <c r="V89" s="73">
        <v>638</v>
      </c>
      <c r="W89" s="73">
        <v>43.21</v>
      </c>
      <c r="X89" s="73">
        <v>0.39300000000000002</v>
      </c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4"/>
    </row>
    <row r="90" spans="1:36" ht="87">
      <c r="A90" s="69" t="s">
        <v>316</v>
      </c>
      <c r="B90" s="70" t="s">
        <v>325</v>
      </c>
      <c r="C90" s="71" t="s">
        <v>268</v>
      </c>
      <c r="D90" s="72" t="s">
        <v>319</v>
      </c>
      <c r="E90" s="73"/>
      <c r="F90" s="73"/>
      <c r="G90" s="73"/>
      <c r="H90" s="73"/>
      <c r="I90" s="73"/>
      <c r="J90" s="73"/>
      <c r="K90" s="73"/>
      <c r="L90" s="73"/>
      <c r="M90" s="73"/>
      <c r="N90" s="73" t="s">
        <v>270</v>
      </c>
      <c r="O90" s="73">
        <v>0</v>
      </c>
      <c r="P90" s="73">
        <v>1200</v>
      </c>
      <c r="Q90" s="73">
        <v>450</v>
      </c>
      <c r="R90" s="73">
        <v>4</v>
      </c>
      <c r="S90" s="73">
        <v>7.5</v>
      </c>
      <c r="T90" s="73"/>
      <c r="U90" s="73">
        <v>9.9</v>
      </c>
      <c r="V90" s="73">
        <v>658</v>
      </c>
      <c r="W90" s="73">
        <v>41.93</v>
      </c>
      <c r="X90" s="73">
        <v>0.38800000000000001</v>
      </c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4"/>
    </row>
    <row r="91" spans="1:36" ht="87">
      <c r="A91" s="69" t="s">
        <v>316</v>
      </c>
      <c r="B91" s="70" t="s">
        <v>326</v>
      </c>
      <c r="C91" s="71" t="s">
        <v>268</v>
      </c>
      <c r="D91" s="72" t="s">
        <v>319</v>
      </c>
      <c r="E91" s="73"/>
      <c r="F91" s="73"/>
      <c r="G91" s="73"/>
      <c r="H91" s="73"/>
      <c r="I91" s="73"/>
      <c r="J91" s="73"/>
      <c r="K91" s="73"/>
      <c r="L91" s="73"/>
      <c r="M91" s="73"/>
      <c r="N91" s="73" t="s">
        <v>270</v>
      </c>
      <c r="O91" s="73">
        <v>0</v>
      </c>
      <c r="P91" s="73">
        <v>1200</v>
      </c>
      <c r="Q91" s="73">
        <v>450</v>
      </c>
      <c r="R91" s="73">
        <v>4</v>
      </c>
      <c r="S91" s="73">
        <v>7.5</v>
      </c>
      <c r="T91" s="73"/>
      <c r="U91" s="73">
        <v>10.7</v>
      </c>
      <c r="V91" s="73">
        <v>717</v>
      </c>
      <c r="W91" s="73">
        <v>39.31</v>
      </c>
      <c r="X91" s="73">
        <v>0.38200000000000001</v>
      </c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4"/>
    </row>
    <row r="92" spans="1:36" ht="87">
      <c r="A92" s="69" t="s">
        <v>316</v>
      </c>
      <c r="B92" s="70" t="s">
        <v>327</v>
      </c>
      <c r="C92" s="71" t="s">
        <v>268</v>
      </c>
      <c r="D92" s="72" t="s">
        <v>319</v>
      </c>
      <c r="E92" s="73"/>
      <c r="F92" s="73"/>
      <c r="G92" s="73"/>
      <c r="H92" s="73"/>
      <c r="I92" s="73"/>
      <c r="J92" s="73"/>
      <c r="K92" s="73"/>
      <c r="L92" s="73"/>
      <c r="M92" s="73"/>
      <c r="N92" s="73" t="s">
        <v>270</v>
      </c>
      <c r="O92" s="73">
        <v>0</v>
      </c>
      <c r="P92" s="73">
        <v>1200</v>
      </c>
      <c r="Q92" s="73">
        <v>450</v>
      </c>
      <c r="R92" s="73">
        <v>4</v>
      </c>
      <c r="S92" s="73">
        <v>7.5</v>
      </c>
      <c r="T92" s="73"/>
      <c r="U92" s="73" t="s">
        <v>294</v>
      </c>
      <c r="V92" s="73" t="s">
        <v>294</v>
      </c>
      <c r="W92" s="73" t="s">
        <v>294</v>
      </c>
      <c r="X92" s="73" t="s">
        <v>294</v>
      </c>
      <c r="Y92" s="73" t="s">
        <v>294</v>
      </c>
      <c r="Z92" s="73" t="s">
        <v>294</v>
      </c>
      <c r="AA92" s="73" t="s">
        <v>294</v>
      </c>
      <c r="AB92" s="73" t="s">
        <v>294</v>
      </c>
      <c r="AC92" s="73" t="s">
        <v>294</v>
      </c>
      <c r="AD92" s="73" t="s">
        <v>294</v>
      </c>
      <c r="AE92" s="73" t="s">
        <v>294</v>
      </c>
      <c r="AF92" s="73" t="s">
        <v>294</v>
      </c>
      <c r="AG92" s="73" t="s">
        <v>294</v>
      </c>
      <c r="AH92" s="73" t="s">
        <v>294</v>
      </c>
      <c r="AI92" s="73" t="s">
        <v>294</v>
      </c>
      <c r="AJ92" s="74"/>
    </row>
    <row r="93" spans="1:36" ht="87">
      <c r="A93" s="69" t="s">
        <v>316</v>
      </c>
      <c r="B93" s="70" t="s">
        <v>204</v>
      </c>
      <c r="C93" s="71" t="s">
        <v>268</v>
      </c>
      <c r="D93" s="72" t="s">
        <v>317</v>
      </c>
      <c r="E93" s="73">
        <v>371.6</v>
      </c>
      <c r="F93" s="73">
        <v>182.6</v>
      </c>
      <c r="G93" s="73">
        <v>32.17</v>
      </c>
      <c r="H93" s="73">
        <v>684.06</v>
      </c>
      <c r="I93" s="73"/>
      <c r="J93" s="73">
        <v>0.41</v>
      </c>
      <c r="K93" s="73"/>
      <c r="L93" s="73">
        <v>44.5</v>
      </c>
      <c r="M93" s="73">
        <v>54.4</v>
      </c>
      <c r="N93" s="73" t="s">
        <v>270</v>
      </c>
      <c r="O93" s="73">
        <v>616</v>
      </c>
      <c r="P93" s="73">
        <v>1200</v>
      </c>
      <c r="Q93" s="73">
        <v>450</v>
      </c>
      <c r="R93" s="73">
        <v>4</v>
      </c>
      <c r="S93" s="73">
        <v>7.5</v>
      </c>
      <c r="T93" s="73"/>
      <c r="U93" s="73">
        <v>6.3</v>
      </c>
      <c r="V93" s="73">
        <v>635</v>
      </c>
      <c r="W93" s="73">
        <v>43.85</v>
      </c>
      <c r="X93" s="73">
        <v>0.42399999999999999</v>
      </c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83"/>
    </row>
    <row r="94" spans="1:36" ht="87">
      <c r="A94" s="69" t="s">
        <v>316</v>
      </c>
      <c r="B94" s="70" t="s">
        <v>328</v>
      </c>
      <c r="C94" s="71" t="s">
        <v>268</v>
      </c>
      <c r="D94" s="72" t="s">
        <v>319</v>
      </c>
      <c r="E94" s="73"/>
      <c r="F94" s="73"/>
      <c r="G94" s="73"/>
      <c r="H94" s="73"/>
      <c r="I94" s="73"/>
      <c r="J94" s="73"/>
      <c r="K94" s="73"/>
      <c r="L94" s="73"/>
      <c r="M94" s="73"/>
      <c r="N94" s="73" t="s">
        <v>270</v>
      </c>
      <c r="O94" s="73">
        <v>2063</v>
      </c>
      <c r="P94" s="73">
        <v>1200</v>
      </c>
      <c r="Q94" s="73">
        <v>450</v>
      </c>
      <c r="R94" s="73">
        <v>4</v>
      </c>
      <c r="S94" s="73">
        <v>7.5</v>
      </c>
      <c r="T94" s="73"/>
      <c r="U94" s="73">
        <v>6.3</v>
      </c>
      <c r="V94" s="73">
        <v>622</v>
      </c>
      <c r="W94" s="73">
        <v>43.74</v>
      </c>
      <c r="X94" s="73">
        <v>0.41899999999999998</v>
      </c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4"/>
    </row>
    <row r="95" spans="1:36" ht="87">
      <c r="A95" s="69" t="s">
        <v>316</v>
      </c>
      <c r="B95" s="70" t="s">
        <v>329</v>
      </c>
      <c r="C95" s="71" t="s">
        <v>268</v>
      </c>
      <c r="D95" s="72" t="s">
        <v>319</v>
      </c>
      <c r="E95" s="73"/>
      <c r="F95" s="73"/>
      <c r="G95" s="73"/>
      <c r="H95" s="73"/>
      <c r="I95" s="73"/>
      <c r="J95" s="73"/>
      <c r="K95" s="73"/>
      <c r="L95" s="73"/>
      <c r="M95" s="73"/>
      <c r="N95" s="73" t="s">
        <v>270</v>
      </c>
      <c r="O95" s="73">
        <v>5514</v>
      </c>
      <c r="P95" s="73">
        <v>1200</v>
      </c>
      <c r="Q95" s="73">
        <v>450</v>
      </c>
      <c r="R95" s="73">
        <v>4</v>
      </c>
      <c r="S95" s="73">
        <v>7.5</v>
      </c>
      <c r="T95" s="73"/>
      <c r="U95" s="73">
        <v>6.1</v>
      </c>
      <c r="V95" s="73">
        <v>622</v>
      </c>
      <c r="W95" s="73">
        <v>43.67</v>
      </c>
      <c r="X95" s="73">
        <v>0.40799999999999997</v>
      </c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4"/>
    </row>
    <row r="96" spans="1:36" ht="87">
      <c r="A96" s="69" t="s">
        <v>316</v>
      </c>
      <c r="B96" s="70" t="s">
        <v>330</v>
      </c>
      <c r="C96" s="71" t="s">
        <v>268</v>
      </c>
      <c r="D96" s="72" t="s">
        <v>319</v>
      </c>
      <c r="E96" s="73"/>
      <c r="F96" s="73"/>
      <c r="G96" s="73"/>
      <c r="H96" s="73"/>
      <c r="I96" s="73"/>
      <c r="J96" s="73"/>
      <c r="K96" s="73"/>
      <c r="L96" s="73"/>
      <c r="M96" s="73"/>
      <c r="N96" s="73" t="s">
        <v>270</v>
      </c>
      <c r="O96" s="73">
        <v>7876</v>
      </c>
      <c r="P96" s="73">
        <v>1200</v>
      </c>
      <c r="Q96" s="73">
        <v>450</v>
      </c>
      <c r="R96" s="73">
        <v>4</v>
      </c>
      <c r="S96" s="73">
        <v>7.5</v>
      </c>
      <c r="T96" s="73"/>
      <c r="U96" s="73">
        <v>6.1</v>
      </c>
      <c r="V96" s="73">
        <v>620</v>
      </c>
      <c r="W96" s="73">
        <v>43.77</v>
      </c>
      <c r="X96" s="73">
        <v>0.40400000000000003</v>
      </c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4"/>
    </row>
    <row r="97" spans="1:36" ht="87">
      <c r="A97" s="69" t="s">
        <v>316</v>
      </c>
      <c r="B97" s="70" t="s">
        <v>324</v>
      </c>
      <c r="C97" s="71" t="s">
        <v>268</v>
      </c>
      <c r="D97" s="72" t="s">
        <v>319</v>
      </c>
      <c r="E97" s="73"/>
      <c r="F97" s="73"/>
      <c r="G97" s="73"/>
      <c r="H97" s="73"/>
      <c r="I97" s="73"/>
      <c r="J97" s="73"/>
      <c r="K97" s="73"/>
      <c r="L97" s="73"/>
      <c r="M97" s="73"/>
      <c r="N97" s="73" t="s">
        <v>270</v>
      </c>
      <c r="O97" s="73">
        <v>10780</v>
      </c>
      <c r="P97" s="73">
        <v>1200</v>
      </c>
      <c r="Q97" s="73">
        <v>450</v>
      </c>
      <c r="R97" s="73">
        <v>4</v>
      </c>
      <c r="S97" s="73">
        <v>7.5</v>
      </c>
      <c r="T97" s="73"/>
      <c r="U97" s="73">
        <v>6.3</v>
      </c>
      <c r="V97" s="73">
        <v>639</v>
      </c>
      <c r="W97" s="73">
        <v>43.65</v>
      </c>
      <c r="X97" s="73">
        <v>0.39300000000000002</v>
      </c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4"/>
    </row>
    <row r="98" spans="1:36" ht="87">
      <c r="A98" s="69" t="s">
        <v>316</v>
      </c>
      <c r="B98" s="70" t="s">
        <v>267</v>
      </c>
      <c r="C98" s="71" t="s">
        <v>268</v>
      </c>
      <c r="D98" s="72" t="s">
        <v>269</v>
      </c>
      <c r="E98" s="73">
        <v>541.9</v>
      </c>
      <c r="F98" s="73"/>
      <c r="G98" s="73"/>
      <c r="H98" s="73">
        <v>834.5</v>
      </c>
      <c r="I98" s="73"/>
      <c r="J98" s="73"/>
      <c r="K98" s="73"/>
      <c r="L98" s="73">
        <v>43.14</v>
      </c>
      <c r="M98" s="73">
        <v>51.7</v>
      </c>
      <c r="N98" s="73" t="s">
        <v>270</v>
      </c>
      <c r="O98" s="73">
        <v>0</v>
      </c>
      <c r="P98" s="73">
        <v>1200</v>
      </c>
      <c r="Q98" s="73">
        <v>450</v>
      </c>
      <c r="R98" s="73">
        <v>4</v>
      </c>
      <c r="S98" s="73">
        <v>7.5</v>
      </c>
      <c r="T98" s="73"/>
      <c r="U98" s="73">
        <v>7.1</v>
      </c>
      <c r="V98" s="73">
        <v>617</v>
      </c>
      <c r="W98" s="73">
        <v>42.7</v>
      </c>
      <c r="X98" s="73">
        <v>0.39700000000000002</v>
      </c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83"/>
    </row>
    <row r="99" spans="1:36" ht="87">
      <c r="A99" s="69" t="s">
        <v>316</v>
      </c>
      <c r="B99" s="70" t="s">
        <v>208</v>
      </c>
      <c r="C99" s="71" t="s">
        <v>268</v>
      </c>
      <c r="D99" s="72" t="s">
        <v>317</v>
      </c>
      <c r="E99" s="73">
        <v>398.9</v>
      </c>
      <c r="F99" s="73">
        <v>216.3</v>
      </c>
      <c r="G99" s="73">
        <v>41.53</v>
      </c>
      <c r="H99" s="73">
        <v>702.8</v>
      </c>
      <c r="I99" s="73"/>
      <c r="J99" s="73">
        <v>0.54600000000000004</v>
      </c>
      <c r="K99" s="73"/>
      <c r="L99" s="73">
        <v>44.79</v>
      </c>
      <c r="M99" s="73">
        <v>64.099999999999994</v>
      </c>
      <c r="N99" s="73" t="s">
        <v>270</v>
      </c>
      <c r="O99" s="73">
        <v>0</v>
      </c>
      <c r="P99" s="73">
        <v>1200</v>
      </c>
      <c r="Q99" s="73">
        <v>450</v>
      </c>
      <c r="R99" s="73">
        <v>4</v>
      </c>
      <c r="S99" s="73">
        <v>7.5</v>
      </c>
      <c r="T99" s="73"/>
      <c r="U99" s="73">
        <v>6.5</v>
      </c>
      <c r="V99" s="73">
        <v>615</v>
      </c>
      <c r="W99" s="73">
        <v>42.12</v>
      </c>
      <c r="X99" s="73">
        <v>0.42199999999999999</v>
      </c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83"/>
    </row>
    <row r="100" spans="1:36" ht="87">
      <c r="A100" s="69" t="s">
        <v>316</v>
      </c>
      <c r="B100" s="75" t="s">
        <v>331</v>
      </c>
      <c r="C100" s="71" t="s">
        <v>268</v>
      </c>
      <c r="D100" s="72" t="s">
        <v>332</v>
      </c>
      <c r="E100" s="73"/>
      <c r="F100" s="73"/>
      <c r="G100" s="73"/>
      <c r="H100" s="73"/>
      <c r="I100" s="73"/>
      <c r="J100" s="73"/>
      <c r="K100" s="73"/>
      <c r="L100" s="73"/>
      <c r="M100" s="73"/>
      <c r="N100" s="73" t="s">
        <v>270</v>
      </c>
      <c r="O100" s="73">
        <v>0</v>
      </c>
      <c r="P100" s="73">
        <v>1200</v>
      </c>
      <c r="Q100" s="73">
        <v>450</v>
      </c>
      <c r="R100" s="73">
        <v>4</v>
      </c>
      <c r="S100" s="73">
        <v>7.5</v>
      </c>
      <c r="T100" s="73"/>
      <c r="U100" s="73">
        <v>6.5</v>
      </c>
      <c r="V100" s="73">
        <v>616</v>
      </c>
      <c r="W100" s="73">
        <v>42.27</v>
      </c>
      <c r="X100" s="73">
        <v>0.42</v>
      </c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4"/>
    </row>
    <row r="101" spans="1:36" ht="87">
      <c r="A101" s="69" t="s">
        <v>316</v>
      </c>
      <c r="B101" s="70" t="s">
        <v>333</v>
      </c>
      <c r="C101" s="71" t="s">
        <v>268</v>
      </c>
      <c r="D101" s="72" t="s">
        <v>332</v>
      </c>
      <c r="E101" s="73"/>
      <c r="F101" s="73"/>
      <c r="G101" s="73"/>
      <c r="H101" s="73"/>
      <c r="I101" s="73"/>
      <c r="J101" s="73"/>
      <c r="K101" s="73"/>
      <c r="L101" s="73"/>
      <c r="M101" s="73"/>
      <c r="N101" s="73" t="s">
        <v>270</v>
      </c>
      <c r="O101" s="73">
        <v>0</v>
      </c>
      <c r="P101" s="73">
        <v>1200</v>
      </c>
      <c r="Q101" s="73">
        <v>450</v>
      </c>
      <c r="R101" s="73">
        <v>4</v>
      </c>
      <c r="S101" s="73">
        <v>7.5</v>
      </c>
      <c r="T101" s="73"/>
      <c r="U101" s="73">
        <v>6.9</v>
      </c>
      <c r="V101" s="73">
        <v>617</v>
      </c>
      <c r="W101" s="73">
        <v>42.3</v>
      </c>
      <c r="X101" s="73">
        <v>0.41799999999999998</v>
      </c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4"/>
    </row>
    <row r="102" spans="1:36" ht="87">
      <c r="A102" s="69" t="s">
        <v>316</v>
      </c>
      <c r="B102" s="70" t="s">
        <v>334</v>
      </c>
      <c r="C102" s="71" t="s">
        <v>268</v>
      </c>
      <c r="D102" s="72" t="s">
        <v>332</v>
      </c>
      <c r="E102" s="73"/>
      <c r="F102" s="73"/>
      <c r="G102" s="73"/>
      <c r="H102" s="73"/>
      <c r="I102" s="73"/>
      <c r="J102" s="73"/>
      <c r="K102" s="73"/>
      <c r="L102" s="73"/>
      <c r="M102" s="73"/>
      <c r="N102" s="73" t="s">
        <v>270</v>
      </c>
      <c r="O102" s="73">
        <v>0</v>
      </c>
      <c r="P102" s="73">
        <v>1200</v>
      </c>
      <c r="Q102" s="73">
        <v>450</v>
      </c>
      <c r="R102" s="73">
        <v>4</v>
      </c>
      <c r="S102" s="73">
        <v>7.5</v>
      </c>
      <c r="T102" s="73"/>
      <c r="U102" s="73">
        <v>7.3</v>
      </c>
      <c r="V102" s="73">
        <v>619</v>
      </c>
      <c r="W102" s="73">
        <v>41.84</v>
      </c>
      <c r="X102" s="73">
        <v>0.41499999999999998</v>
      </c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4"/>
    </row>
    <row r="103" spans="1:36" ht="87">
      <c r="A103" s="69" t="s">
        <v>316</v>
      </c>
      <c r="B103" s="70" t="s">
        <v>335</v>
      </c>
      <c r="C103" s="71" t="s">
        <v>268</v>
      </c>
      <c r="D103" s="72" t="s">
        <v>332</v>
      </c>
      <c r="E103" s="73"/>
      <c r="F103" s="73"/>
      <c r="G103" s="73"/>
      <c r="H103" s="73"/>
      <c r="I103" s="73"/>
      <c r="J103" s="73"/>
      <c r="K103" s="73"/>
      <c r="L103" s="73"/>
      <c r="M103" s="73"/>
      <c r="N103" s="73" t="s">
        <v>270</v>
      </c>
      <c r="O103" s="73">
        <v>0</v>
      </c>
      <c r="P103" s="73">
        <v>1200</v>
      </c>
      <c r="Q103" s="73">
        <v>450</v>
      </c>
      <c r="R103" s="73">
        <v>4</v>
      </c>
      <c r="S103" s="73">
        <v>7.5</v>
      </c>
      <c r="T103" s="73"/>
      <c r="U103" s="73">
        <v>7.3</v>
      </c>
      <c r="V103" s="73">
        <v>617</v>
      </c>
      <c r="W103" s="73">
        <v>42.09</v>
      </c>
      <c r="X103" s="73">
        <v>0.41199999999999998</v>
      </c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4"/>
    </row>
    <row r="104" spans="1:36" ht="87">
      <c r="A104" s="69" t="s">
        <v>316</v>
      </c>
      <c r="B104" s="70" t="s">
        <v>336</v>
      </c>
      <c r="C104" s="71" t="s">
        <v>268</v>
      </c>
      <c r="D104" s="72" t="s">
        <v>332</v>
      </c>
      <c r="E104" s="73"/>
      <c r="F104" s="73"/>
      <c r="G104" s="73"/>
      <c r="H104" s="73"/>
      <c r="I104" s="73"/>
      <c r="J104" s="73"/>
      <c r="K104" s="73"/>
      <c r="L104" s="73"/>
      <c r="M104" s="73"/>
      <c r="N104" s="73" t="s">
        <v>270</v>
      </c>
      <c r="O104" s="73">
        <v>0</v>
      </c>
      <c r="P104" s="73">
        <v>1200</v>
      </c>
      <c r="Q104" s="73">
        <v>450</v>
      </c>
      <c r="R104" s="73">
        <v>4</v>
      </c>
      <c r="S104" s="73">
        <v>7.5</v>
      </c>
      <c r="T104" s="73"/>
      <c r="U104" s="73">
        <v>7.5</v>
      </c>
      <c r="V104" s="73">
        <v>615</v>
      </c>
      <c r="W104" s="73">
        <v>42.15</v>
      </c>
      <c r="X104" s="73">
        <v>0.41</v>
      </c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4"/>
    </row>
    <row r="105" spans="1:36" ht="87">
      <c r="A105" s="69" t="s">
        <v>316</v>
      </c>
      <c r="B105" s="70" t="s">
        <v>337</v>
      </c>
      <c r="C105" s="71" t="s">
        <v>268</v>
      </c>
      <c r="D105" s="72" t="s">
        <v>332</v>
      </c>
      <c r="E105" s="73"/>
      <c r="F105" s="73"/>
      <c r="G105" s="73"/>
      <c r="H105" s="73"/>
      <c r="I105" s="73"/>
      <c r="J105" s="73"/>
      <c r="K105" s="73"/>
      <c r="L105" s="73"/>
      <c r="M105" s="73"/>
      <c r="N105" s="73" t="s">
        <v>270</v>
      </c>
      <c r="O105" s="73">
        <v>0</v>
      </c>
      <c r="P105" s="73">
        <v>1200</v>
      </c>
      <c r="Q105" s="73">
        <v>450</v>
      </c>
      <c r="R105" s="73">
        <v>4</v>
      </c>
      <c r="S105" s="73">
        <v>7.5</v>
      </c>
      <c r="T105" s="73"/>
      <c r="U105" s="73">
        <v>7.7</v>
      </c>
      <c r="V105" s="73">
        <v>618</v>
      </c>
      <c r="W105" s="73">
        <v>42.59</v>
      </c>
      <c r="X105" s="73">
        <v>0.40799999999999997</v>
      </c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4"/>
    </row>
    <row r="106" spans="1:36" ht="87">
      <c r="A106" s="69" t="s">
        <v>316</v>
      </c>
      <c r="B106" s="70" t="s">
        <v>338</v>
      </c>
      <c r="C106" s="71" t="s">
        <v>268</v>
      </c>
      <c r="D106" s="72" t="s">
        <v>332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 t="s">
        <v>270</v>
      </c>
      <c r="O106" s="73">
        <v>0</v>
      </c>
      <c r="P106" s="73">
        <v>1200</v>
      </c>
      <c r="Q106" s="73">
        <v>450</v>
      </c>
      <c r="R106" s="73">
        <v>4</v>
      </c>
      <c r="S106" s="73">
        <v>7.5</v>
      </c>
      <c r="T106" s="73"/>
      <c r="U106" s="73">
        <v>7.9</v>
      </c>
      <c r="V106" s="73">
        <v>617</v>
      </c>
      <c r="W106" s="73">
        <v>42.31</v>
      </c>
      <c r="X106" s="73">
        <v>0.40699999999999997</v>
      </c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4"/>
    </row>
    <row r="107" spans="1:36" ht="87">
      <c r="A107" s="69" t="s">
        <v>316</v>
      </c>
      <c r="B107" s="70" t="s">
        <v>339</v>
      </c>
      <c r="C107" s="71" t="s">
        <v>268</v>
      </c>
      <c r="D107" s="72" t="s">
        <v>340</v>
      </c>
      <c r="E107" s="73">
        <v>394.5</v>
      </c>
      <c r="F107" s="73">
        <v>170.6</v>
      </c>
      <c r="G107" s="73">
        <v>40.44</v>
      </c>
      <c r="H107" s="73">
        <v>714.9</v>
      </c>
      <c r="I107" s="73"/>
      <c r="J107" s="73">
        <v>0.47</v>
      </c>
      <c r="K107" s="73"/>
      <c r="L107" s="73">
        <v>44.56</v>
      </c>
      <c r="M107" s="73">
        <v>40.799999999999997</v>
      </c>
      <c r="N107" s="73" t="s">
        <v>270</v>
      </c>
      <c r="O107" s="73">
        <v>0</v>
      </c>
      <c r="P107" s="73">
        <v>1200</v>
      </c>
      <c r="Q107" s="73">
        <v>450</v>
      </c>
      <c r="R107" s="73">
        <v>4</v>
      </c>
      <c r="S107" s="73">
        <v>7.5</v>
      </c>
      <c r="T107" s="73"/>
      <c r="U107" s="73">
        <v>8.1</v>
      </c>
      <c r="V107" s="73">
        <v>617</v>
      </c>
      <c r="W107" s="73">
        <v>42.24</v>
      </c>
      <c r="X107" s="73">
        <v>0.40600000000000003</v>
      </c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83"/>
    </row>
    <row r="108" spans="1:36" ht="87">
      <c r="A108" s="69" t="s">
        <v>316</v>
      </c>
      <c r="B108" s="70" t="s">
        <v>208</v>
      </c>
      <c r="C108" s="71" t="s">
        <v>268</v>
      </c>
      <c r="D108" s="72" t="s">
        <v>317</v>
      </c>
      <c r="E108" s="73">
        <v>398.9</v>
      </c>
      <c r="F108" s="73">
        <v>216.3</v>
      </c>
      <c r="G108" s="73">
        <v>41.53</v>
      </c>
      <c r="H108" s="73">
        <v>702.8</v>
      </c>
      <c r="I108" s="73"/>
      <c r="J108" s="73">
        <v>0.54600000000000004</v>
      </c>
      <c r="K108" s="73"/>
      <c r="L108" s="73">
        <v>44.79</v>
      </c>
      <c r="M108" s="73">
        <v>64.099999999999994</v>
      </c>
      <c r="N108" s="73" t="s">
        <v>270</v>
      </c>
      <c r="O108" s="73">
        <v>441</v>
      </c>
      <c r="P108" s="73">
        <v>1200</v>
      </c>
      <c r="Q108" s="73">
        <v>450</v>
      </c>
      <c r="R108" s="73">
        <v>4</v>
      </c>
      <c r="S108" s="73">
        <v>7.5</v>
      </c>
      <c r="T108" s="73"/>
      <c r="U108" s="73">
        <v>5.9</v>
      </c>
      <c r="V108" s="73">
        <v>619</v>
      </c>
      <c r="W108" s="73">
        <v>41.9</v>
      </c>
      <c r="X108" s="73">
        <v>0.42199999999999999</v>
      </c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83"/>
    </row>
    <row r="109" spans="1:36" ht="87">
      <c r="A109" s="69" t="s">
        <v>316</v>
      </c>
      <c r="B109" s="70" t="s">
        <v>334</v>
      </c>
      <c r="C109" s="71" t="s">
        <v>268</v>
      </c>
      <c r="D109" s="72" t="s">
        <v>332</v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 t="s">
        <v>270</v>
      </c>
      <c r="O109" s="73">
        <v>8589.5</v>
      </c>
      <c r="P109" s="73">
        <v>1200</v>
      </c>
      <c r="Q109" s="73">
        <v>450</v>
      </c>
      <c r="R109" s="73">
        <v>4</v>
      </c>
      <c r="S109" s="73">
        <v>7.5</v>
      </c>
      <c r="T109" s="73"/>
      <c r="U109" s="73">
        <v>5.7</v>
      </c>
      <c r="V109" s="73">
        <v>619</v>
      </c>
      <c r="W109" s="73">
        <v>41.89</v>
      </c>
      <c r="X109" s="73">
        <v>0.41399999999999998</v>
      </c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4"/>
    </row>
    <row r="110" spans="1:36" ht="87">
      <c r="A110" s="69" t="s">
        <v>316</v>
      </c>
      <c r="B110" s="70" t="s">
        <v>339</v>
      </c>
      <c r="C110" s="71" t="s">
        <v>268</v>
      </c>
      <c r="D110" s="72" t="s">
        <v>340</v>
      </c>
      <c r="E110" s="73">
        <v>394.5</v>
      </c>
      <c r="F110" s="73">
        <v>170.6</v>
      </c>
      <c r="G110" s="73">
        <v>40.44</v>
      </c>
      <c r="H110" s="73">
        <v>714.9</v>
      </c>
      <c r="I110" s="73"/>
      <c r="J110" s="73">
        <v>0.47</v>
      </c>
      <c r="K110" s="73"/>
      <c r="L110" s="73">
        <v>44.56</v>
      </c>
      <c r="M110" s="73">
        <v>40.799999999999997</v>
      </c>
      <c r="N110" s="73" t="s">
        <v>270</v>
      </c>
      <c r="O110" s="73">
        <v>12169</v>
      </c>
      <c r="P110" s="73">
        <v>1200</v>
      </c>
      <c r="Q110" s="73">
        <v>450</v>
      </c>
      <c r="R110" s="73">
        <v>4</v>
      </c>
      <c r="S110" s="73">
        <v>7.5</v>
      </c>
      <c r="T110" s="73"/>
      <c r="U110" s="73">
        <v>6.1</v>
      </c>
      <c r="V110" s="73">
        <v>620</v>
      </c>
      <c r="W110" s="73">
        <v>41.79</v>
      </c>
      <c r="X110" s="73">
        <v>0.40699999999999997</v>
      </c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83"/>
    </row>
    <row r="111" spans="1:36" ht="87">
      <c r="A111" s="76" t="s">
        <v>316</v>
      </c>
      <c r="B111" s="77" t="s">
        <v>267</v>
      </c>
      <c r="C111" s="78" t="s">
        <v>268</v>
      </c>
      <c r="D111" s="79" t="s">
        <v>269</v>
      </c>
      <c r="E111" s="80">
        <v>541.9</v>
      </c>
      <c r="F111" s="80"/>
      <c r="G111" s="80"/>
      <c r="H111" s="80">
        <v>834.5</v>
      </c>
      <c r="I111" s="80"/>
      <c r="J111" s="80"/>
      <c r="K111" s="80"/>
      <c r="L111" s="80">
        <v>43.14</v>
      </c>
      <c r="M111" s="80">
        <v>51.7</v>
      </c>
      <c r="N111" s="80" t="s">
        <v>270</v>
      </c>
      <c r="O111" s="80">
        <v>0</v>
      </c>
      <c r="P111" s="80">
        <v>1200</v>
      </c>
      <c r="Q111" s="80">
        <v>450</v>
      </c>
      <c r="R111" s="80">
        <v>4</v>
      </c>
      <c r="S111" s="80"/>
      <c r="T111" s="80">
        <v>0</v>
      </c>
      <c r="U111" s="80">
        <v>7.5</v>
      </c>
      <c r="V111" s="80">
        <v>614</v>
      </c>
      <c r="W111" s="80">
        <v>43.05</v>
      </c>
      <c r="X111" s="80">
        <v>0.39600000000000002</v>
      </c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6"/>
    </row>
    <row r="112" spans="1:36" ht="87">
      <c r="A112" s="76" t="s">
        <v>316</v>
      </c>
      <c r="B112" s="77" t="s">
        <v>204</v>
      </c>
      <c r="C112" s="78" t="s">
        <v>268</v>
      </c>
      <c r="D112" s="79" t="s">
        <v>317</v>
      </c>
      <c r="E112" s="80">
        <v>371.6</v>
      </c>
      <c r="F112" s="80">
        <v>182.6</v>
      </c>
      <c r="G112" s="80">
        <v>32.17</v>
      </c>
      <c r="H112" s="80">
        <v>684.06</v>
      </c>
      <c r="I112" s="80"/>
      <c r="J112" s="80">
        <v>0.41</v>
      </c>
      <c r="K112" s="80"/>
      <c r="L112" s="80">
        <v>44.5</v>
      </c>
      <c r="M112" s="80">
        <v>54.4</v>
      </c>
      <c r="N112" s="80" t="s">
        <v>270</v>
      </c>
      <c r="O112" s="80">
        <v>0</v>
      </c>
      <c r="P112" s="80">
        <v>1200</v>
      </c>
      <c r="Q112" s="80">
        <v>450</v>
      </c>
      <c r="R112" s="80">
        <v>4</v>
      </c>
      <c r="S112" s="80"/>
      <c r="T112" s="80">
        <v>0</v>
      </c>
      <c r="U112" s="80">
        <v>7.4</v>
      </c>
      <c r="V112" s="80">
        <v>657</v>
      </c>
      <c r="W112" s="80">
        <v>42.9</v>
      </c>
      <c r="X112" s="80">
        <v>0.42199999999999999</v>
      </c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6"/>
    </row>
    <row r="113" spans="1:36" ht="87">
      <c r="A113" s="76" t="s">
        <v>316</v>
      </c>
      <c r="B113" s="77" t="s">
        <v>318</v>
      </c>
      <c r="C113" s="78" t="s">
        <v>268</v>
      </c>
      <c r="D113" s="79" t="s">
        <v>319</v>
      </c>
      <c r="E113" s="80"/>
      <c r="F113" s="80"/>
      <c r="G113" s="80"/>
      <c r="H113" s="80"/>
      <c r="I113" s="80"/>
      <c r="J113" s="80"/>
      <c r="K113" s="80"/>
      <c r="L113" s="80"/>
      <c r="M113" s="80"/>
      <c r="N113" s="80" t="s">
        <v>270</v>
      </c>
      <c r="O113" s="80">
        <v>0</v>
      </c>
      <c r="P113" s="80">
        <v>1200</v>
      </c>
      <c r="Q113" s="80">
        <v>450</v>
      </c>
      <c r="R113" s="80">
        <v>4</v>
      </c>
      <c r="S113" s="80"/>
      <c r="T113" s="80">
        <v>0</v>
      </c>
      <c r="U113" s="80">
        <v>7.5</v>
      </c>
      <c r="V113" s="80">
        <v>646</v>
      </c>
      <c r="W113" s="80">
        <v>43.08</v>
      </c>
      <c r="X113" s="80">
        <v>0.42</v>
      </c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1"/>
    </row>
    <row r="114" spans="1:36" ht="87">
      <c r="A114" s="76" t="s">
        <v>316</v>
      </c>
      <c r="B114" s="77" t="s">
        <v>320</v>
      </c>
      <c r="C114" s="78" t="s">
        <v>268</v>
      </c>
      <c r="D114" s="79" t="s">
        <v>319</v>
      </c>
      <c r="E114" s="80"/>
      <c r="F114" s="80"/>
      <c r="G114" s="80"/>
      <c r="H114" s="80"/>
      <c r="I114" s="80"/>
      <c r="J114" s="80"/>
      <c r="K114" s="80"/>
      <c r="L114" s="80"/>
      <c r="M114" s="80"/>
      <c r="N114" s="80" t="s">
        <v>270</v>
      </c>
      <c r="O114" s="80">
        <v>0</v>
      </c>
      <c r="P114" s="80">
        <v>1200</v>
      </c>
      <c r="Q114" s="80">
        <v>450</v>
      </c>
      <c r="R114" s="80">
        <v>4</v>
      </c>
      <c r="S114" s="80"/>
      <c r="T114" s="80">
        <v>0</v>
      </c>
      <c r="U114" s="80">
        <v>7.5</v>
      </c>
      <c r="V114" s="80">
        <v>658</v>
      </c>
      <c r="W114" s="80">
        <v>42.65</v>
      </c>
      <c r="X114" s="80">
        <v>0.41499999999999998</v>
      </c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1"/>
    </row>
    <row r="115" spans="1:36" ht="87">
      <c r="A115" s="76" t="s">
        <v>316</v>
      </c>
      <c r="B115" s="77" t="s">
        <v>321</v>
      </c>
      <c r="C115" s="78" t="s">
        <v>268</v>
      </c>
      <c r="D115" s="79" t="s">
        <v>319</v>
      </c>
      <c r="E115" s="80"/>
      <c r="F115" s="80"/>
      <c r="G115" s="80"/>
      <c r="H115" s="80"/>
      <c r="I115" s="80"/>
      <c r="J115" s="80"/>
      <c r="K115" s="80"/>
      <c r="L115" s="80"/>
      <c r="M115" s="80"/>
      <c r="N115" s="80" t="s">
        <v>270</v>
      </c>
      <c r="O115" s="80">
        <v>0</v>
      </c>
      <c r="P115" s="80">
        <v>1200</v>
      </c>
      <c r="Q115" s="80">
        <v>450</v>
      </c>
      <c r="R115" s="80">
        <v>4</v>
      </c>
      <c r="S115" s="80"/>
      <c r="T115" s="80">
        <v>0</v>
      </c>
      <c r="U115" s="80">
        <v>8.1</v>
      </c>
      <c r="V115" s="80">
        <v>648</v>
      </c>
      <c r="W115" s="80">
        <v>42.96</v>
      </c>
      <c r="X115" s="80">
        <v>0.40500000000000003</v>
      </c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1"/>
    </row>
    <row r="116" spans="1:36" ht="87">
      <c r="A116" s="76" t="s">
        <v>316</v>
      </c>
      <c r="B116" s="77" t="s">
        <v>322</v>
      </c>
      <c r="C116" s="78" t="s">
        <v>268</v>
      </c>
      <c r="D116" s="79" t="s">
        <v>319</v>
      </c>
      <c r="E116" s="80"/>
      <c r="F116" s="80"/>
      <c r="G116" s="80"/>
      <c r="H116" s="80"/>
      <c r="I116" s="80"/>
      <c r="J116" s="80"/>
      <c r="K116" s="80"/>
      <c r="L116" s="80"/>
      <c r="M116" s="80"/>
      <c r="N116" s="80" t="s">
        <v>270</v>
      </c>
      <c r="O116" s="80">
        <v>0</v>
      </c>
      <c r="P116" s="80">
        <v>1200</v>
      </c>
      <c r="Q116" s="80">
        <v>450</v>
      </c>
      <c r="R116" s="80">
        <v>4</v>
      </c>
      <c r="S116" s="80"/>
      <c r="T116" s="80">
        <v>0</v>
      </c>
      <c r="U116" s="80">
        <v>8.8000000000000007</v>
      </c>
      <c r="V116" s="80">
        <v>630</v>
      </c>
      <c r="W116" s="80">
        <v>43.22</v>
      </c>
      <c r="X116" s="80">
        <v>0.39600000000000002</v>
      </c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1"/>
    </row>
    <row r="117" spans="1:36" ht="87">
      <c r="A117" s="76" t="s">
        <v>316</v>
      </c>
      <c r="B117" s="77" t="s">
        <v>323</v>
      </c>
      <c r="C117" s="78" t="s">
        <v>268</v>
      </c>
      <c r="D117" s="79" t="s">
        <v>319</v>
      </c>
      <c r="E117" s="80"/>
      <c r="F117" s="80"/>
      <c r="G117" s="80"/>
      <c r="H117" s="80"/>
      <c r="I117" s="80"/>
      <c r="J117" s="80"/>
      <c r="K117" s="80"/>
      <c r="L117" s="80"/>
      <c r="M117" s="80"/>
      <c r="N117" s="80" t="s">
        <v>270</v>
      </c>
      <c r="O117" s="80">
        <v>0</v>
      </c>
      <c r="P117" s="80">
        <v>1200</v>
      </c>
      <c r="Q117" s="80">
        <v>450</v>
      </c>
      <c r="R117" s="80">
        <v>4</v>
      </c>
      <c r="S117" s="80"/>
      <c r="T117" s="80">
        <v>0</v>
      </c>
      <c r="U117" s="80">
        <v>8.9</v>
      </c>
      <c r="V117" s="80">
        <v>631</v>
      </c>
      <c r="W117" s="80">
        <v>43.67</v>
      </c>
      <c r="X117" s="80">
        <v>0.39900000000000002</v>
      </c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1"/>
    </row>
    <row r="118" spans="1:36" ht="87">
      <c r="A118" s="76" t="s">
        <v>316</v>
      </c>
      <c r="B118" s="77" t="s">
        <v>324</v>
      </c>
      <c r="C118" s="78" t="s">
        <v>268</v>
      </c>
      <c r="D118" s="79" t="s">
        <v>319</v>
      </c>
      <c r="E118" s="80"/>
      <c r="F118" s="80"/>
      <c r="G118" s="80"/>
      <c r="H118" s="80"/>
      <c r="I118" s="80"/>
      <c r="J118" s="80"/>
      <c r="K118" s="80"/>
      <c r="L118" s="80"/>
      <c r="M118" s="80"/>
      <c r="N118" s="80" t="s">
        <v>270</v>
      </c>
      <c r="O118" s="80">
        <v>0</v>
      </c>
      <c r="P118" s="80">
        <v>1200</v>
      </c>
      <c r="Q118" s="80">
        <v>450</v>
      </c>
      <c r="R118" s="80">
        <v>4</v>
      </c>
      <c r="S118" s="80"/>
      <c r="T118" s="80">
        <v>0</v>
      </c>
      <c r="U118" s="80">
        <v>9</v>
      </c>
      <c r="V118" s="80">
        <v>638</v>
      </c>
      <c r="W118" s="80">
        <v>43.19</v>
      </c>
      <c r="X118" s="80">
        <v>0.39300000000000002</v>
      </c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1"/>
    </row>
    <row r="119" spans="1:36" ht="87">
      <c r="A119" s="76" t="s">
        <v>316</v>
      </c>
      <c r="B119" s="77" t="s">
        <v>325</v>
      </c>
      <c r="C119" s="78" t="s">
        <v>268</v>
      </c>
      <c r="D119" s="79" t="s">
        <v>319</v>
      </c>
      <c r="E119" s="80"/>
      <c r="F119" s="80"/>
      <c r="G119" s="80"/>
      <c r="H119" s="80"/>
      <c r="I119" s="80"/>
      <c r="J119" s="80"/>
      <c r="K119" s="80"/>
      <c r="L119" s="80"/>
      <c r="M119" s="80"/>
      <c r="N119" s="80" t="s">
        <v>270</v>
      </c>
      <c r="O119" s="80">
        <v>0</v>
      </c>
      <c r="P119" s="80">
        <v>1200</v>
      </c>
      <c r="Q119" s="80">
        <v>450</v>
      </c>
      <c r="R119" s="80">
        <v>4</v>
      </c>
      <c r="S119" s="80"/>
      <c r="T119" s="80">
        <v>0</v>
      </c>
      <c r="U119" s="80">
        <v>9.6</v>
      </c>
      <c r="V119" s="80">
        <v>632</v>
      </c>
      <c r="W119" s="80">
        <v>43.62</v>
      </c>
      <c r="X119" s="80">
        <v>0.38900000000000001</v>
      </c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1"/>
    </row>
    <row r="120" spans="1:36" ht="87">
      <c r="A120" s="76" t="s">
        <v>316</v>
      </c>
      <c r="B120" s="77" t="s">
        <v>326</v>
      </c>
      <c r="C120" s="78" t="s">
        <v>268</v>
      </c>
      <c r="D120" s="79" t="s">
        <v>319</v>
      </c>
      <c r="E120" s="80"/>
      <c r="F120" s="80"/>
      <c r="G120" s="80"/>
      <c r="H120" s="80"/>
      <c r="I120" s="80"/>
      <c r="J120" s="80"/>
      <c r="K120" s="80"/>
      <c r="L120" s="80"/>
      <c r="M120" s="80"/>
      <c r="N120" s="80" t="s">
        <v>270</v>
      </c>
      <c r="O120" s="80">
        <v>0</v>
      </c>
      <c r="P120" s="80">
        <v>1200</v>
      </c>
      <c r="Q120" s="80">
        <v>450</v>
      </c>
      <c r="R120" s="80">
        <v>4</v>
      </c>
      <c r="S120" s="80"/>
      <c r="T120" s="80">
        <v>0</v>
      </c>
      <c r="U120" s="80">
        <v>9.9</v>
      </c>
      <c r="V120" s="80">
        <v>664</v>
      </c>
      <c r="W120" s="80">
        <v>42.38</v>
      </c>
      <c r="X120" s="80">
        <v>0.38400000000000001</v>
      </c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1"/>
    </row>
    <row r="121" spans="1:36" ht="87">
      <c r="A121" s="76" t="s">
        <v>316</v>
      </c>
      <c r="B121" s="77" t="s">
        <v>327</v>
      </c>
      <c r="C121" s="78" t="s">
        <v>268</v>
      </c>
      <c r="D121" s="79" t="s">
        <v>319</v>
      </c>
      <c r="E121" s="80"/>
      <c r="F121" s="80"/>
      <c r="G121" s="80"/>
      <c r="H121" s="80"/>
      <c r="I121" s="80"/>
      <c r="J121" s="80"/>
      <c r="K121" s="80"/>
      <c r="L121" s="80"/>
      <c r="M121" s="80"/>
      <c r="N121" s="80" t="s">
        <v>270</v>
      </c>
      <c r="O121" s="80">
        <v>0</v>
      </c>
      <c r="P121" s="80">
        <v>1200</v>
      </c>
      <c r="Q121" s="80">
        <v>450</v>
      </c>
      <c r="R121" s="80">
        <v>4</v>
      </c>
      <c r="S121" s="80"/>
      <c r="T121" s="80">
        <v>0</v>
      </c>
      <c r="U121" s="80">
        <v>10.5</v>
      </c>
      <c r="V121" s="80">
        <v>681</v>
      </c>
      <c r="W121" s="80">
        <v>39.97</v>
      </c>
      <c r="X121" s="80">
        <v>0.379</v>
      </c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1"/>
    </row>
    <row r="122" spans="1:36" ht="87">
      <c r="A122" s="76" t="s">
        <v>316</v>
      </c>
      <c r="B122" s="77" t="s">
        <v>204</v>
      </c>
      <c r="C122" s="78" t="s">
        <v>268</v>
      </c>
      <c r="D122" s="79" t="s">
        <v>317</v>
      </c>
      <c r="E122" s="80">
        <v>371.6</v>
      </c>
      <c r="F122" s="80">
        <v>182.6</v>
      </c>
      <c r="G122" s="80">
        <v>32.17</v>
      </c>
      <c r="H122" s="80">
        <v>684.06</v>
      </c>
      <c r="I122" s="80"/>
      <c r="J122" s="80">
        <v>0.41</v>
      </c>
      <c r="K122" s="80"/>
      <c r="L122" s="80">
        <v>44.5</v>
      </c>
      <c r="M122" s="80">
        <v>54.4</v>
      </c>
      <c r="N122" s="80" t="s">
        <v>270</v>
      </c>
      <c r="O122" s="80">
        <v>616</v>
      </c>
      <c r="P122" s="80">
        <v>1200</v>
      </c>
      <c r="Q122" s="80">
        <v>450</v>
      </c>
      <c r="R122" s="80">
        <v>4</v>
      </c>
      <c r="S122" s="80"/>
      <c r="T122" s="80">
        <v>0</v>
      </c>
      <c r="U122" s="80">
        <v>6.4</v>
      </c>
      <c r="V122" s="80">
        <v>637</v>
      </c>
      <c r="W122" s="80">
        <v>43.8</v>
      </c>
      <c r="X122" s="80">
        <v>0.42499999999999999</v>
      </c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6"/>
    </row>
    <row r="123" spans="1:36" ht="87">
      <c r="A123" s="76" t="s">
        <v>316</v>
      </c>
      <c r="B123" s="77" t="s">
        <v>328</v>
      </c>
      <c r="C123" s="78" t="s">
        <v>268</v>
      </c>
      <c r="D123" s="79" t="s">
        <v>319</v>
      </c>
      <c r="E123" s="80"/>
      <c r="F123" s="80"/>
      <c r="G123" s="80"/>
      <c r="H123" s="80"/>
      <c r="I123" s="80"/>
      <c r="J123" s="80"/>
      <c r="K123" s="80"/>
      <c r="L123" s="80"/>
      <c r="M123" s="80"/>
      <c r="N123" s="80" t="s">
        <v>270</v>
      </c>
      <c r="O123" s="80">
        <v>2063</v>
      </c>
      <c r="P123" s="80">
        <v>1200</v>
      </c>
      <c r="Q123" s="80">
        <v>450</v>
      </c>
      <c r="R123" s="80">
        <v>4</v>
      </c>
      <c r="S123" s="80"/>
      <c r="T123" s="80">
        <v>0</v>
      </c>
      <c r="U123" s="80">
        <v>6.2</v>
      </c>
      <c r="V123" s="80">
        <v>618</v>
      </c>
      <c r="W123" s="80">
        <v>43.91</v>
      </c>
      <c r="X123" s="80">
        <v>0.41899999999999998</v>
      </c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1"/>
    </row>
    <row r="124" spans="1:36" ht="87">
      <c r="A124" s="76" t="s">
        <v>316</v>
      </c>
      <c r="B124" s="77" t="s">
        <v>329</v>
      </c>
      <c r="C124" s="78" t="s">
        <v>268</v>
      </c>
      <c r="D124" s="79" t="s">
        <v>319</v>
      </c>
      <c r="E124" s="80"/>
      <c r="F124" s="80"/>
      <c r="G124" s="80"/>
      <c r="H124" s="80"/>
      <c r="I124" s="80"/>
      <c r="J124" s="80"/>
      <c r="K124" s="80"/>
      <c r="L124" s="80"/>
      <c r="M124" s="80"/>
      <c r="N124" s="80" t="s">
        <v>270</v>
      </c>
      <c r="O124" s="80">
        <v>5514</v>
      </c>
      <c r="P124" s="80">
        <v>1200</v>
      </c>
      <c r="Q124" s="80">
        <v>450</v>
      </c>
      <c r="R124" s="80">
        <v>4</v>
      </c>
      <c r="S124" s="80"/>
      <c r="T124" s="80">
        <v>0</v>
      </c>
      <c r="U124" s="80">
        <v>6.2</v>
      </c>
      <c r="V124" s="80">
        <v>620</v>
      </c>
      <c r="W124" s="80">
        <v>43.68</v>
      </c>
      <c r="X124" s="80">
        <v>0.40699999999999997</v>
      </c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1"/>
    </row>
    <row r="125" spans="1:36" ht="87">
      <c r="A125" s="76" t="s">
        <v>316</v>
      </c>
      <c r="B125" s="77" t="s">
        <v>330</v>
      </c>
      <c r="C125" s="78" t="s">
        <v>268</v>
      </c>
      <c r="D125" s="79" t="s">
        <v>319</v>
      </c>
      <c r="E125" s="80"/>
      <c r="F125" s="80"/>
      <c r="G125" s="80"/>
      <c r="H125" s="80"/>
      <c r="I125" s="80"/>
      <c r="J125" s="80"/>
      <c r="K125" s="80"/>
      <c r="L125" s="80"/>
      <c r="M125" s="80"/>
      <c r="N125" s="80" t="s">
        <v>270</v>
      </c>
      <c r="O125" s="80">
        <v>7876</v>
      </c>
      <c r="P125" s="80">
        <v>1200</v>
      </c>
      <c r="Q125" s="80">
        <v>450</v>
      </c>
      <c r="R125" s="80">
        <v>4</v>
      </c>
      <c r="S125" s="80"/>
      <c r="T125" s="80">
        <v>0</v>
      </c>
      <c r="U125" s="80">
        <v>6.2</v>
      </c>
      <c r="V125" s="80">
        <v>617</v>
      </c>
      <c r="W125" s="80">
        <v>43.78</v>
      </c>
      <c r="X125" s="80">
        <v>0.40400000000000003</v>
      </c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1"/>
    </row>
    <row r="126" spans="1:36" ht="87">
      <c r="A126" s="76" t="s">
        <v>316</v>
      </c>
      <c r="B126" s="77" t="s">
        <v>324</v>
      </c>
      <c r="C126" s="78" t="s">
        <v>268</v>
      </c>
      <c r="D126" s="79" t="s">
        <v>319</v>
      </c>
      <c r="E126" s="80"/>
      <c r="F126" s="80"/>
      <c r="G126" s="80"/>
      <c r="H126" s="80"/>
      <c r="I126" s="80"/>
      <c r="J126" s="80"/>
      <c r="K126" s="80"/>
      <c r="L126" s="80"/>
      <c r="M126" s="80"/>
      <c r="N126" s="80" t="s">
        <v>270</v>
      </c>
      <c r="O126" s="80">
        <v>10780</v>
      </c>
      <c r="P126" s="80">
        <v>1200</v>
      </c>
      <c r="Q126" s="80">
        <v>450</v>
      </c>
      <c r="R126" s="80">
        <v>4</v>
      </c>
      <c r="S126" s="80"/>
      <c r="T126" s="80">
        <v>0</v>
      </c>
      <c r="U126" s="80">
        <v>6.4</v>
      </c>
      <c r="V126" s="80">
        <v>638</v>
      </c>
      <c r="W126" s="80">
        <v>43.58</v>
      </c>
      <c r="X126" s="80">
        <v>0.39300000000000002</v>
      </c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1"/>
    </row>
    <row r="127" spans="1:36" ht="87">
      <c r="A127" s="76" t="s">
        <v>316</v>
      </c>
      <c r="B127" s="77" t="s">
        <v>267</v>
      </c>
      <c r="C127" s="78" t="s">
        <v>268</v>
      </c>
      <c r="D127" s="79" t="s">
        <v>269</v>
      </c>
      <c r="E127" s="80">
        <v>541.9</v>
      </c>
      <c r="F127" s="80"/>
      <c r="G127" s="80"/>
      <c r="H127" s="80">
        <v>834.5</v>
      </c>
      <c r="I127" s="80"/>
      <c r="J127" s="80"/>
      <c r="K127" s="80"/>
      <c r="L127" s="80">
        <v>43.14</v>
      </c>
      <c r="M127" s="80">
        <v>51.7</v>
      </c>
      <c r="N127" s="80" t="s">
        <v>270</v>
      </c>
      <c r="O127" s="80">
        <v>0</v>
      </c>
      <c r="P127" s="80">
        <v>1200</v>
      </c>
      <c r="Q127" s="80">
        <v>450</v>
      </c>
      <c r="R127" s="80">
        <v>4</v>
      </c>
      <c r="S127" s="80"/>
      <c r="T127" s="80">
        <v>0</v>
      </c>
      <c r="U127" s="80">
        <v>7.2</v>
      </c>
      <c r="V127" s="80">
        <v>619</v>
      </c>
      <c r="W127" s="80">
        <v>42.4</v>
      </c>
      <c r="X127" s="80">
        <v>0.39700000000000002</v>
      </c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6"/>
    </row>
    <row r="128" spans="1:36" ht="87">
      <c r="A128" s="76" t="s">
        <v>316</v>
      </c>
      <c r="B128" s="77" t="s">
        <v>208</v>
      </c>
      <c r="C128" s="78" t="s">
        <v>268</v>
      </c>
      <c r="D128" s="79" t="s">
        <v>317</v>
      </c>
      <c r="E128" s="80">
        <v>398.9</v>
      </c>
      <c r="F128" s="80">
        <v>216.3</v>
      </c>
      <c r="G128" s="80">
        <v>41.53</v>
      </c>
      <c r="H128" s="80">
        <v>702.8</v>
      </c>
      <c r="I128" s="80"/>
      <c r="J128" s="80">
        <v>0.54600000000000004</v>
      </c>
      <c r="K128" s="80"/>
      <c r="L128" s="80">
        <v>44.79</v>
      </c>
      <c r="M128" s="80">
        <v>64.099999999999994</v>
      </c>
      <c r="N128" s="80" t="s">
        <v>270</v>
      </c>
      <c r="O128" s="80">
        <v>0</v>
      </c>
      <c r="P128" s="80">
        <v>1200</v>
      </c>
      <c r="Q128" s="80">
        <v>450</v>
      </c>
      <c r="R128" s="80">
        <v>4</v>
      </c>
      <c r="S128" s="80"/>
      <c r="T128" s="80">
        <v>0</v>
      </c>
      <c r="U128" s="80">
        <v>6.5</v>
      </c>
      <c r="V128" s="80">
        <v>618</v>
      </c>
      <c r="W128" s="80">
        <v>42.01</v>
      </c>
      <c r="X128" s="80">
        <v>0.42099999999999999</v>
      </c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6"/>
    </row>
    <row r="129" spans="1:36" ht="87">
      <c r="A129" s="76" t="s">
        <v>316</v>
      </c>
      <c r="B129" s="82" t="s">
        <v>331</v>
      </c>
      <c r="C129" s="78" t="s">
        <v>268</v>
      </c>
      <c r="D129" s="79" t="s">
        <v>332</v>
      </c>
      <c r="E129" s="80"/>
      <c r="F129" s="80"/>
      <c r="G129" s="80"/>
      <c r="H129" s="80"/>
      <c r="I129" s="80"/>
      <c r="J129" s="80"/>
      <c r="K129" s="80"/>
      <c r="L129" s="80"/>
      <c r="M129" s="80"/>
      <c r="N129" s="80" t="s">
        <v>270</v>
      </c>
      <c r="O129" s="80">
        <v>0</v>
      </c>
      <c r="P129" s="80">
        <v>1200</v>
      </c>
      <c r="Q129" s="80">
        <v>450</v>
      </c>
      <c r="R129" s="80">
        <v>4</v>
      </c>
      <c r="S129" s="80"/>
      <c r="T129" s="80">
        <v>0</v>
      </c>
      <c r="U129" s="80">
        <v>6.7</v>
      </c>
      <c r="V129" s="80">
        <v>621</v>
      </c>
      <c r="W129" s="80">
        <v>42.3</v>
      </c>
      <c r="X129" s="80">
        <v>0.42</v>
      </c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1"/>
    </row>
    <row r="130" spans="1:36" ht="87">
      <c r="A130" s="76" t="s">
        <v>316</v>
      </c>
      <c r="B130" s="77" t="s">
        <v>333</v>
      </c>
      <c r="C130" s="78" t="s">
        <v>268</v>
      </c>
      <c r="D130" s="79" t="s">
        <v>332</v>
      </c>
      <c r="E130" s="80"/>
      <c r="F130" s="80"/>
      <c r="G130" s="80"/>
      <c r="H130" s="80"/>
      <c r="I130" s="80"/>
      <c r="J130" s="80"/>
      <c r="K130" s="80"/>
      <c r="L130" s="80"/>
      <c r="M130" s="80"/>
      <c r="N130" s="80" t="s">
        <v>270</v>
      </c>
      <c r="O130" s="80">
        <v>0</v>
      </c>
      <c r="P130" s="80">
        <v>1200</v>
      </c>
      <c r="Q130" s="80">
        <v>450</v>
      </c>
      <c r="R130" s="80">
        <v>4</v>
      </c>
      <c r="S130" s="80"/>
      <c r="T130" s="80">
        <v>0</v>
      </c>
      <c r="U130" s="80">
        <v>6.8</v>
      </c>
      <c r="V130" s="80">
        <v>619</v>
      </c>
      <c r="W130" s="80">
        <v>42.05</v>
      </c>
      <c r="X130" s="80">
        <v>0.41799999999999998</v>
      </c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1"/>
    </row>
    <row r="131" spans="1:36" ht="87">
      <c r="A131" s="76" t="s">
        <v>316</v>
      </c>
      <c r="B131" s="77" t="s">
        <v>334</v>
      </c>
      <c r="C131" s="78" t="s">
        <v>268</v>
      </c>
      <c r="D131" s="79" t="s">
        <v>332</v>
      </c>
      <c r="E131" s="80"/>
      <c r="F131" s="80"/>
      <c r="G131" s="80"/>
      <c r="H131" s="80"/>
      <c r="I131" s="80"/>
      <c r="J131" s="80"/>
      <c r="K131" s="80"/>
      <c r="L131" s="80"/>
      <c r="M131" s="80"/>
      <c r="N131" s="80" t="s">
        <v>270</v>
      </c>
      <c r="O131" s="80">
        <v>0</v>
      </c>
      <c r="P131" s="80">
        <v>1200</v>
      </c>
      <c r="Q131" s="80">
        <v>450</v>
      </c>
      <c r="R131" s="80">
        <v>4</v>
      </c>
      <c r="S131" s="80"/>
      <c r="T131" s="80">
        <v>0</v>
      </c>
      <c r="U131" s="80">
        <v>7.4</v>
      </c>
      <c r="V131" s="80">
        <v>621</v>
      </c>
      <c r="W131" s="80">
        <v>42.14</v>
      </c>
      <c r="X131" s="80">
        <v>0.41499999999999998</v>
      </c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1"/>
    </row>
    <row r="132" spans="1:36" ht="87">
      <c r="A132" s="76" t="s">
        <v>316</v>
      </c>
      <c r="B132" s="77" t="s">
        <v>335</v>
      </c>
      <c r="C132" s="78" t="s">
        <v>268</v>
      </c>
      <c r="D132" s="79" t="s">
        <v>332</v>
      </c>
      <c r="E132" s="80"/>
      <c r="F132" s="80"/>
      <c r="G132" s="80"/>
      <c r="H132" s="80"/>
      <c r="I132" s="80"/>
      <c r="J132" s="80"/>
      <c r="K132" s="80"/>
      <c r="L132" s="80"/>
      <c r="M132" s="80"/>
      <c r="N132" s="80" t="s">
        <v>270</v>
      </c>
      <c r="O132" s="80">
        <v>0</v>
      </c>
      <c r="P132" s="80">
        <v>1200</v>
      </c>
      <c r="Q132" s="80">
        <v>450</v>
      </c>
      <c r="R132" s="80">
        <v>4</v>
      </c>
      <c r="S132" s="80"/>
      <c r="T132" s="80">
        <v>0</v>
      </c>
      <c r="U132" s="80">
        <v>7.4</v>
      </c>
      <c r="V132" s="80">
        <v>620</v>
      </c>
      <c r="W132" s="80">
        <v>42</v>
      </c>
      <c r="X132" s="80">
        <v>0.41099999999999998</v>
      </c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1"/>
    </row>
    <row r="133" spans="1:36" ht="87">
      <c r="A133" s="76" t="s">
        <v>316</v>
      </c>
      <c r="B133" s="77" t="s">
        <v>336</v>
      </c>
      <c r="C133" s="78" t="s">
        <v>268</v>
      </c>
      <c r="D133" s="79" t="s">
        <v>332</v>
      </c>
      <c r="E133" s="80"/>
      <c r="F133" s="80"/>
      <c r="G133" s="80"/>
      <c r="H133" s="80"/>
      <c r="I133" s="80"/>
      <c r="J133" s="80"/>
      <c r="K133" s="80"/>
      <c r="L133" s="80"/>
      <c r="M133" s="80"/>
      <c r="N133" s="80" t="s">
        <v>270</v>
      </c>
      <c r="O133" s="80">
        <v>0</v>
      </c>
      <c r="P133" s="80">
        <v>1200</v>
      </c>
      <c r="Q133" s="80">
        <v>450</v>
      </c>
      <c r="R133" s="80">
        <v>4</v>
      </c>
      <c r="S133" s="80"/>
      <c r="T133" s="80">
        <v>0</v>
      </c>
      <c r="U133" s="80">
        <v>7.7</v>
      </c>
      <c r="V133" s="80">
        <v>620</v>
      </c>
      <c r="W133" s="80">
        <v>42.28</v>
      </c>
      <c r="X133" s="80">
        <v>0.41</v>
      </c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1"/>
    </row>
    <row r="134" spans="1:36" ht="87">
      <c r="A134" s="76" t="s">
        <v>316</v>
      </c>
      <c r="B134" s="77" t="s">
        <v>337</v>
      </c>
      <c r="C134" s="78" t="s">
        <v>268</v>
      </c>
      <c r="D134" s="79" t="s">
        <v>332</v>
      </c>
      <c r="E134" s="80"/>
      <c r="F134" s="80"/>
      <c r="G134" s="80"/>
      <c r="H134" s="80"/>
      <c r="I134" s="80"/>
      <c r="J134" s="80"/>
      <c r="K134" s="80"/>
      <c r="L134" s="80"/>
      <c r="M134" s="80"/>
      <c r="N134" s="80" t="s">
        <v>270</v>
      </c>
      <c r="O134" s="80">
        <v>0</v>
      </c>
      <c r="P134" s="80">
        <v>1200</v>
      </c>
      <c r="Q134" s="80">
        <v>450</v>
      </c>
      <c r="R134" s="80">
        <v>4</v>
      </c>
      <c r="S134" s="80"/>
      <c r="T134" s="80">
        <v>0</v>
      </c>
      <c r="U134" s="80">
        <v>7.8</v>
      </c>
      <c r="V134" s="80">
        <v>621</v>
      </c>
      <c r="W134" s="80">
        <v>42.13</v>
      </c>
      <c r="X134" s="80">
        <v>0.40799999999999997</v>
      </c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1"/>
    </row>
    <row r="135" spans="1:36" ht="87">
      <c r="A135" s="76" t="s">
        <v>316</v>
      </c>
      <c r="B135" s="77" t="s">
        <v>338</v>
      </c>
      <c r="C135" s="78" t="s">
        <v>268</v>
      </c>
      <c r="D135" s="79" t="s">
        <v>332</v>
      </c>
      <c r="E135" s="80"/>
      <c r="F135" s="80"/>
      <c r="G135" s="80"/>
      <c r="H135" s="80"/>
      <c r="I135" s="80"/>
      <c r="J135" s="80"/>
      <c r="K135" s="80"/>
      <c r="L135" s="80"/>
      <c r="M135" s="80"/>
      <c r="N135" s="80" t="s">
        <v>270</v>
      </c>
      <c r="O135" s="80">
        <v>0</v>
      </c>
      <c r="P135" s="80">
        <v>1200</v>
      </c>
      <c r="Q135" s="80">
        <v>450</v>
      </c>
      <c r="R135" s="80">
        <v>4</v>
      </c>
      <c r="S135" s="80"/>
      <c r="T135" s="80">
        <v>0</v>
      </c>
      <c r="U135" s="80">
        <v>8</v>
      </c>
      <c r="V135" s="80">
        <v>623</v>
      </c>
      <c r="W135" s="80">
        <v>42.41</v>
      </c>
      <c r="X135" s="80">
        <v>0.40699999999999997</v>
      </c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1"/>
    </row>
    <row r="136" spans="1:36" ht="87">
      <c r="A136" s="76" t="s">
        <v>316</v>
      </c>
      <c r="B136" s="77" t="s">
        <v>339</v>
      </c>
      <c r="C136" s="78" t="s">
        <v>268</v>
      </c>
      <c r="D136" s="79" t="s">
        <v>340</v>
      </c>
      <c r="E136" s="80">
        <v>394.5</v>
      </c>
      <c r="F136" s="80">
        <v>170.6</v>
      </c>
      <c r="G136" s="80">
        <v>40.44</v>
      </c>
      <c r="H136" s="80">
        <v>714.9</v>
      </c>
      <c r="I136" s="80"/>
      <c r="J136" s="80">
        <v>0.47</v>
      </c>
      <c r="K136" s="80"/>
      <c r="L136" s="80">
        <v>44.56</v>
      </c>
      <c r="M136" s="80">
        <v>40.799999999999997</v>
      </c>
      <c r="N136" s="80" t="s">
        <v>270</v>
      </c>
      <c r="O136" s="80">
        <v>0</v>
      </c>
      <c r="P136" s="80">
        <v>1200</v>
      </c>
      <c r="Q136" s="80">
        <v>450</v>
      </c>
      <c r="R136" s="80">
        <v>4</v>
      </c>
      <c r="S136" s="80"/>
      <c r="T136" s="80">
        <v>0</v>
      </c>
      <c r="U136" s="80">
        <v>8.1</v>
      </c>
      <c r="V136" s="80">
        <v>618</v>
      </c>
      <c r="W136" s="80">
        <v>42.08</v>
      </c>
      <c r="X136" s="80">
        <v>0.40600000000000003</v>
      </c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6"/>
    </row>
    <row r="137" spans="1:36" ht="87">
      <c r="A137" s="76" t="s">
        <v>316</v>
      </c>
      <c r="B137" s="77" t="s">
        <v>208</v>
      </c>
      <c r="C137" s="78" t="s">
        <v>268</v>
      </c>
      <c r="D137" s="79" t="s">
        <v>317</v>
      </c>
      <c r="E137" s="80">
        <v>398.9</v>
      </c>
      <c r="F137" s="80">
        <v>216.3</v>
      </c>
      <c r="G137" s="80">
        <v>41.53</v>
      </c>
      <c r="H137" s="80">
        <v>702.8</v>
      </c>
      <c r="I137" s="80"/>
      <c r="J137" s="80">
        <v>0.54600000000000004</v>
      </c>
      <c r="K137" s="80"/>
      <c r="L137" s="80">
        <v>44.79</v>
      </c>
      <c r="M137" s="80">
        <v>64.099999999999994</v>
      </c>
      <c r="N137" s="80" t="s">
        <v>270</v>
      </c>
      <c r="O137" s="80">
        <v>441</v>
      </c>
      <c r="P137" s="80">
        <v>1200</v>
      </c>
      <c r="Q137" s="80">
        <v>450</v>
      </c>
      <c r="R137" s="80">
        <v>4</v>
      </c>
      <c r="S137" s="80"/>
      <c r="T137" s="80">
        <v>0</v>
      </c>
      <c r="U137" s="80">
        <v>5.9</v>
      </c>
      <c r="V137" s="80">
        <v>619</v>
      </c>
      <c r="W137" s="80">
        <v>42.12</v>
      </c>
      <c r="X137" s="80">
        <v>0.42099999999999999</v>
      </c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6"/>
    </row>
    <row r="138" spans="1:36" ht="87">
      <c r="A138" s="76" t="s">
        <v>316</v>
      </c>
      <c r="B138" s="77" t="s">
        <v>334</v>
      </c>
      <c r="C138" s="78" t="s">
        <v>268</v>
      </c>
      <c r="D138" s="79" t="s">
        <v>332</v>
      </c>
      <c r="E138" s="80"/>
      <c r="F138" s="80"/>
      <c r="G138" s="80"/>
      <c r="H138" s="80"/>
      <c r="I138" s="80"/>
      <c r="J138" s="80"/>
      <c r="K138" s="80"/>
      <c r="L138" s="80"/>
      <c r="M138" s="80"/>
      <c r="N138" s="80" t="s">
        <v>270</v>
      </c>
      <c r="O138" s="80">
        <v>8589.5</v>
      </c>
      <c r="P138" s="80">
        <v>1200</v>
      </c>
      <c r="Q138" s="80">
        <v>450</v>
      </c>
      <c r="R138" s="80">
        <v>4</v>
      </c>
      <c r="S138" s="80"/>
      <c r="T138" s="80">
        <v>0</v>
      </c>
      <c r="U138" s="80">
        <v>5.8</v>
      </c>
      <c r="V138" s="80">
        <v>620</v>
      </c>
      <c r="W138" s="80">
        <v>41.95</v>
      </c>
      <c r="X138" s="80">
        <v>0.41399999999999998</v>
      </c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1"/>
    </row>
    <row r="139" spans="1:36" ht="87">
      <c r="A139" s="76" t="s">
        <v>316</v>
      </c>
      <c r="B139" s="77" t="s">
        <v>339</v>
      </c>
      <c r="C139" s="78" t="s">
        <v>268</v>
      </c>
      <c r="D139" s="79" t="s">
        <v>340</v>
      </c>
      <c r="E139" s="80">
        <v>394.5</v>
      </c>
      <c r="F139" s="80">
        <v>170.6</v>
      </c>
      <c r="G139" s="80">
        <v>40.44</v>
      </c>
      <c r="H139" s="80">
        <v>714.9</v>
      </c>
      <c r="I139" s="80"/>
      <c r="J139" s="80">
        <v>0.47</v>
      </c>
      <c r="K139" s="80"/>
      <c r="L139" s="80">
        <v>44.56</v>
      </c>
      <c r="M139" s="80">
        <v>40.799999999999997</v>
      </c>
      <c r="N139" s="80" t="s">
        <v>270</v>
      </c>
      <c r="O139" s="80">
        <v>12169</v>
      </c>
      <c r="P139" s="80">
        <v>1200</v>
      </c>
      <c r="Q139" s="80">
        <v>450</v>
      </c>
      <c r="R139" s="80">
        <v>4</v>
      </c>
      <c r="S139" s="80"/>
      <c r="T139" s="80">
        <v>0</v>
      </c>
      <c r="U139" s="80">
        <v>6</v>
      </c>
      <c r="V139" s="80">
        <v>620</v>
      </c>
      <c r="W139" s="80">
        <v>41.87</v>
      </c>
      <c r="X139" s="80">
        <v>0.40600000000000003</v>
      </c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6"/>
    </row>
  </sheetData>
  <mergeCells count="2">
    <mergeCell ref="AM2:AM4"/>
    <mergeCell ref="AO2:AO4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E3A9-E21E-4D56-8336-CEEC03FB5222}">
  <dimension ref="A1:BH26"/>
  <sheetViews>
    <sheetView topLeftCell="T1" zoomScale="30" workbookViewId="0">
      <pane ySplit="1" topLeftCell="A8" activePane="bottomLeft" state="frozen"/>
      <selection activeCell="X1" sqref="X1"/>
      <selection pane="bottomLeft" activeCell="Q10" sqref="Q10"/>
    </sheetView>
  </sheetViews>
  <sheetFormatPr defaultRowHeight="14.5"/>
  <cols>
    <col min="1" max="60" width="20.6328125" customWidth="1"/>
  </cols>
  <sheetData>
    <row r="1" spans="1:60" ht="186">
      <c r="A1" s="222" t="s">
        <v>0</v>
      </c>
      <c r="B1" s="222" t="s">
        <v>1</v>
      </c>
      <c r="C1" s="222" t="s">
        <v>449</v>
      </c>
      <c r="D1" s="222" t="s">
        <v>2</v>
      </c>
      <c r="E1" s="223" t="s">
        <v>396</v>
      </c>
      <c r="F1" s="222" t="s">
        <v>4</v>
      </c>
      <c r="G1" s="223" t="s">
        <v>397</v>
      </c>
      <c r="H1" s="223" t="s">
        <v>398</v>
      </c>
      <c r="I1" s="223" t="s">
        <v>399</v>
      </c>
      <c r="J1" s="222" t="s">
        <v>11</v>
      </c>
      <c r="K1" s="222" t="s">
        <v>400</v>
      </c>
      <c r="L1" s="222" t="s">
        <v>401</v>
      </c>
      <c r="M1" s="224" t="s">
        <v>12</v>
      </c>
      <c r="N1" s="222" t="s">
        <v>13</v>
      </c>
      <c r="O1" s="222" t="s">
        <v>14</v>
      </c>
      <c r="P1" s="222" t="s">
        <v>15</v>
      </c>
      <c r="Q1" s="222" t="s">
        <v>16</v>
      </c>
      <c r="R1" s="222" t="s">
        <v>17</v>
      </c>
      <c r="S1" s="222" t="s">
        <v>402</v>
      </c>
      <c r="T1" s="222" t="s">
        <v>18</v>
      </c>
      <c r="U1" s="222" t="s">
        <v>19</v>
      </c>
      <c r="V1" s="225" t="s">
        <v>403</v>
      </c>
      <c r="W1" s="225" t="s">
        <v>20</v>
      </c>
      <c r="X1" s="213" t="s">
        <v>342</v>
      </c>
      <c r="Y1" s="214" t="s">
        <v>341</v>
      </c>
      <c r="Z1" s="215" t="s">
        <v>343</v>
      </c>
      <c r="AA1" s="214" t="s">
        <v>344</v>
      </c>
      <c r="AB1" s="214" t="s">
        <v>345</v>
      </c>
      <c r="AC1" s="214" t="s">
        <v>346</v>
      </c>
      <c r="AD1" s="214" t="s">
        <v>347</v>
      </c>
      <c r="AE1" s="214" t="s">
        <v>348</v>
      </c>
      <c r="AF1" s="214" t="s">
        <v>349</v>
      </c>
      <c r="AG1" s="215" t="s">
        <v>350</v>
      </c>
      <c r="AH1" s="216" t="s">
        <v>351</v>
      </c>
      <c r="AI1" s="217" t="s">
        <v>404</v>
      </c>
      <c r="AJ1" s="217" t="s">
        <v>352</v>
      </c>
      <c r="AK1" s="218" t="s">
        <v>353</v>
      </c>
      <c r="AL1" s="219" t="s">
        <v>354</v>
      </c>
      <c r="AM1" s="219" t="s">
        <v>355</v>
      </c>
      <c r="AN1" s="219" t="s">
        <v>356</v>
      </c>
      <c r="AO1" s="219" t="s">
        <v>357</v>
      </c>
      <c r="AP1" s="219" t="s">
        <v>358</v>
      </c>
      <c r="AQ1" s="220" t="s">
        <v>359</v>
      </c>
      <c r="AR1" s="218" t="s">
        <v>360</v>
      </c>
      <c r="AS1" s="218" t="s">
        <v>361</v>
      </c>
      <c r="AT1" s="221" t="s">
        <v>405</v>
      </c>
      <c r="AU1" s="221" t="s">
        <v>406</v>
      </c>
      <c r="AV1" s="221" t="s">
        <v>407</v>
      </c>
      <c r="AW1" s="221" t="s">
        <v>408</v>
      </c>
      <c r="AX1" s="221" t="s">
        <v>409</v>
      </c>
      <c r="AY1" s="221" t="s">
        <v>410</v>
      </c>
      <c r="AZ1" s="221" t="s">
        <v>411</v>
      </c>
      <c r="BA1" s="221" t="s">
        <v>412</v>
      </c>
      <c r="BB1" s="221" t="s">
        <v>413</v>
      </c>
      <c r="BC1" s="221" t="s">
        <v>414</v>
      </c>
      <c r="BD1" s="221" t="s">
        <v>415</v>
      </c>
      <c r="BE1" s="221" t="s">
        <v>416</v>
      </c>
      <c r="BF1" s="221" t="s">
        <v>417</v>
      </c>
      <c r="BG1" s="221" t="s">
        <v>418</v>
      </c>
      <c r="BH1" s="170" t="s">
        <v>26</v>
      </c>
    </row>
    <row r="2" spans="1:60" ht="409.5">
      <c r="A2" s="171" t="s">
        <v>419</v>
      </c>
      <c r="B2" s="172" t="s">
        <v>201</v>
      </c>
      <c r="C2" s="172" t="s">
        <v>268</v>
      </c>
      <c r="D2" s="172"/>
      <c r="E2" s="173">
        <v>268.89999999999998</v>
      </c>
      <c r="F2" s="174"/>
      <c r="G2" s="174"/>
      <c r="H2" s="173">
        <v>834.5</v>
      </c>
      <c r="I2" s="174"/>
      <c r="J2" s="175"/>
      <c r="K2" s="176"/>
      <c r="L2" s="172"/>
      <c r="M2" s="174"/>
      <c r="N2" s="174"/>
      <c r="O2" s="172">
        <v>43.14</v>
      </c>
      <c r="P2" s="177"/>
      <c r="Q2" s="172">
        <v>51.7</v>
      </c>
      <c r="R2" s="177"/>
      <c r="S2" s="177"/>
      <c r="T2" s="172" t="s">
        <v>420</v>
      </c>
      <c r="U2" s="172">
        <v>1200</v>
      </c>
      <c r="V2" s="178">
        <v>4.04</v>
      </c>
      <c r="W2" s="178">
        <v>450</v>
      </c>
      <c r="X2" s="210">
        <v>7.5</v>
      </c>
      <c r="Y2" s="172">
        <v>6</v>
      </c>
      <c r="Z2" s="172">
        <v>38.81</v>
      </c>
      <c r="AA2" s="172">
        <v>701</v>
      </c>
      <c r="AB2" s="172"/>
      <c r="AC2" s="172"/>
      <c r="AD2" s="173"/>
      <c r="AE2" s="173"/>
      <c r="AF2" s="173"/>
      <c r="AG2" s="173"/>
      <c r="AH2" s="211"/>
      <c r="AI2" s="173">
        <v>0</v>
      </c>
      <c r="AJ2" s="173">
        <v>5.9</v>
      </c>
      <c r="AK2" s="173">
        <v>38.340000000000003</v>
      </c>
      <c r="AL2" s="173">
        <v>704</v>
      </c>
      <c r="AM2" s="173"/>
      <c r="AN2" s="172"/>
      <c r="AO2" s="173"/>
      <c r="AP2" s="173"/>
      <c r="AQ2" s="211"/>
      <c r="AR2" s="173"/>
      <c r="AS2" s="17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4"/>
    </row>
    <row r="3" spans="1:60" ht="409.5">
      <c r="A3" s="171" t="s">
        <v>419</v>
      </c>
      <c r="B3" s="172" t="s">
        <v>421</v>
      </c>
      <c r="C3" s="172" t="s">
        <v>274</v>
      </c>
      <c r="D3" s="172"/>
      <c r="E3" s="173">
        <v>125.7</v>
      </c>
      <c r="F3" s="174"/>
      <c r="G3" s="174"/>
      <c r="H3" s="173">
        <v>702.8</v>
      </c>
      <c r="I3" s="174"/>
      <c r="J3" s="175"/>
      <c r="K3" s="176"/>
      <c r="L3" s="172">
        <v>0.54600000000000004</v>
      </c>
      <c r="M3" s="174"/>
      <c r="N3" s="174"/>
      <c r="O3" s="172">
        <v>44.79</v>
      </c>
      <c r="P3" s="177"/>
      <c r="Q3" s="172">
        <v>64.099999999999994</v>
      </c>
      <c r="R3" s="177"/>
      <c r="S3" s="177"/>
      <c r="T3" s="172" t="s">
        <v>420</v>
      </c>
      <c r="U3" s="172">
        <v>1200</v>
      </c>
      <c r="V3" s="178">
        <v>4.04</v>
      </c>
      <c r="W3" s="178">
        <v>450</v>
      </c>
      <c r="X3" s="210">
        <v>7.5</v>
      </c>
      <c r="Y3" s="172">
        <v>5.6</v>
      </c>
      <c r="Z3" s="172">
        <v>38.81</v>
      </c>
      <c r="AA3" s="172">
        <v>726</v>
      </c>
      <c r="AB3" s="172"/>
      <c r="AC3" s="172"/>
      <c r="AD3" s="173"/>
      <c r="AE3" s="173"/>
      <c r="AF3" s="173"/>
      <c r="AG3" s="172"/>
      <c r="AH3" s="211"/>
      <c r="AI3" s="173">
        <v>0</v>
      </c>
      <c r="AJ3" s="173">
        <v>5.5</v>
      </c>
      <c r="AK3" s="173">
        <v>38.75</v>
      </c>
      <c r="AL3" s="173">
        <v>725</v>
      </c>
      <c r="AM3" s="173"/>
      <c r="AN3" s="172"/>
      <c r="AO3" s="173"/>
      <c r="AP3" s="173"/>
      <c r="AQ3" s="211"/>
      <c r="AR3" s="212"/>
      <c r="AS3" s="173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85"/>
    </row>
    <row r="4" spans="1:60" ht="409.5">
      <c r="A4" s="171" t="s">
        <v>419</v>
      </c>
      <c r="B4" s="172" t="s">
        <v>422</v>
      </c>
      <c r="C4" s="172" t="s">
        <v>274</v>
      </c>
      <c r="D4" s="172"/>
      <c r="E4" s="173">
        <v>121.3</v>
      </c>
      <c r="F4" s="174"/>
      <c r="G4" s="176"/>
      <c r="H4" s="173">
        <v>714.9</v>
      </c>
      <c r="I4" s="176"/>
      <c r="J4" s="175"/>
      <c r="K4" s="176"/>
      <c r="L4" s="172">
        <v>0.47</v>
      </c>
      <c r="M4" s="174"/>
      <c r="N4" s="174"/>
      <c r="O4" s="172">
        <v>44.56</v>
      </c>
      <c r="P4" s="177"/>
      <c r="Q4" s="172">
        <v>40.799999999999997</v>
      </c>
      <c r="R4" s="177"/>
      <c r="S4" s="177"/>
      <c r="T4" s="172" t="s">
        <v>420</v>
      </c>
      <c r="U4" s="172">
        <v>1200</v>
      </c>
      <c r="V4" s="178">
        <v>4.04</v>
      </c>
      <c r="W4" s="178">
        <v>450</v>
      </c>
      <c r="X4" s="210">
        <v>7.5</v>
      </c>
      <c r="Y4" s="172">
        <v>6.8</v>
      </c>
      <c r="Z4" s="172">
        <v>38.61</v>
      </c>
      <c r="AA4" s="172">
        <v>729</v>
      </c>
      <c r="AB4" s="172"/>
      <c r="AC4" s="172"/>
      <c r="AD4" s="173"/>
      <c r="AE4" s="173"/>
      <c r="AF4" s="173"/>
      <c r="AG4" s="173"/>
      <c r="AH4" s="211"/>
      <c r="AI4" s="173">
        <v>0</v>
      </c>
      <c r="AJ4" s="173">
        <v>6.7</v>
      </c>
      <c r="AK4" s="173">
        <v>38.44</v>
      </c>
      <c r="AL4" s="173">
        <v>730</v>
      </c>
      <c r="AM4" s="173"/>
      <c r="AN4" s="172"/>
      <c r="AO4" s="173"/>
      <c r="AP4" s="173"/>
      <c r="AQ4" s="211"/>
      <c r="AR4" s="173"/>
      <c r="AS4" s="173"/>
      <c r="AT4" s="173">
        <v>6029</v>
      </c>
      <c r="AU4" s="173">
        <v>5.7</v>
      </c>
      <c r="AV4" s="173"/>
      <c r="AW4" s="173">
        <v>729</v>
      </c>
      <c r="AX4" s="173">
        <v>5.5</v>
      </c>
      <c r="AY4" s="173">
        <v>38.479999999999997</v>
      </c>
      <c r="AZ4" s="173">
        <v>729</v>
      </c>
      <c r="BA4" s="173"/>
      <c r="BB4" s="173"/>
      <c r="BC4" s="173"/>
      <c r="BD4" s="173"/>
      <c r="BE4" s="173"/>
      <c r="BF4" s="173"/>
      <c r="BG4" s="173"/>
      <c r="BH4" s="185"/>
    </row>
    <row r="5" spans="1:60" ht="409.5">
      <c r="A5" s="171" t="s">
        <v>419</v>
      </c>
      <c r="B5" s="172" t="s">
        <v>423</v>
      </c>
      <c r="C5" s="172" t="s">
        <v>274</v>
      </c>
      <c r="D5" s="172"/>
      <c r="E5" s="173">
        <v>124.9</v>
      </c>
      <c r="F5" s="174"/>
      <c r="G5" s="176"/>
      <c r="H5" s="173">
        <v>718.42</v>
      </c>
      <c r="I5" s="176"/>
      <c r="J5" s="175"/>
      <c r="K5" s="176"/>
      <c r="L5" s="172">
        <v>0.48</v>
      </c>
      <c r="M5" s="174"/>
      <c r="N5" s="174"/>
      <c r="O5" s="172">
        <v>44.45</v>
      </c>
      <c r="P5" s="177"/>
      <c r="Q5" s="172"/>
      <c r="R5" s="177"/>
      <c r="S5" s="177"/>
      <c r="T5" s="172" t="s">
        <v>420</v>
      </c>
      <c r="U5" s="172">
        <v>1200</v>
      </c>
      <c r="V5" s="178">
        <v>4.04</v>
      </c>
      <c r="W5" s="178">
        <v>450</v>
      </c>
      <c r="X5" s="210">
        <v>7.5</v>
      </c>
      <c r="Y5" s="172">
        <v>8.6999999999999993</v>
      </c>
      <c r="Z5" s="172">
        <v>39.06</v>
      </c>
      <c r="AA5" s="172">
        <v>727</v>
      </c>
      <c r="AB5" s="172"/>
      <c r="AC5" s="172"/>
      <c r="AD5" s="173"/>
      <c r="AE5" s="173"/>
      <c r="AF5" s="173"/>
      <c r="AG5" s="173"/>
      <c r="AH5" s="211"/>
      <c r="AI5" s="173">
        <v>0</v>
      </c>
      <c r="AJ5" s="173">
        <v>8.8000000000000007</v>
      </c>
      <c r="AK5" s="173">
        <v>38.58</v>
      </c>
      <c r="AL5" s="173">
        <v>737</v>
      </c>
      <c r="AM5" s="173"/>
      <c r="AN5" s="172"/>
      <c r="AO5" s="173"/>
      <c r="AP5" s="173"/>
      <c r="AQ5" s="211"/>
      <c r="AR5" s="173"/>
      <c r="AS5" s="173"/>
      <c r="AT5" s="173">
        <v>14247</v>
      </c>
      <c r="AU5" s="173">
        <v>5.5</v>
      </c>
      <c r="AV5" s="173">
        <v>38.090000000000003</v>
      </c>
      <c r="AW5" s="173">
        <v>727</v>
      </c>
      <c r="AX5" s="173">
        <v>5.5</v>
      </c>
      <c r="AY5" s="173">
        <v>38.28</v>
      </c>
      <c r="AZ5" s="173">
        <v>728</v>
      </c>
      <c r="BA5" s="173"/>
      <c r="BB5" s="173"/>
      <c r="BC5" s="173"/>
      <c r="BD5" s="173"/>
      <c r="BE5" s="173"/>
      <c r="BF5" s="173"/>
      <c r="BG5" s="173"/>
      <c r="BH5" s="185"/>
    </row>
    <row r="6" spans="1:60" ht="409.5">
      <c r="A6" s="171" t="s">
        <v>419</v>
      </c>
      <c r="B6" s="172" t="s">
        <v>424</v>
      </c>
      <c r="C6" s="172" t="s">
        <v>274</v>
      </c>
      <c r="D6" s="172"/>
      <c r="E6" s="173">
        <v>122.7</v>
      </c>
      <c r="F6" s="174"/>
      <c r="G6" s="176"/>
      <c r="H6" s="173">
        <v>718.88</v>
      </c>
      <c r="I6" s="176"/>
      <c r="J6" s="175"/>
      <c r="K6" s="176"/>
      <c r="L6" s="172">
        <v>0.52</v>
      </c>
      <c r="M6" s="174"/>
      <c r="N6" s="174"/>
      <c r="O6" s="172">
        <v>44.49</v>
      </c>
      <c r="P6" s="177"/>
      <c r="Q6" s="172">
        <v>38.090000000000003</v>
      </c>
      <c r="R6" s="177"/>
      <c r="S6" s="177"/>
      <c r="T6" s="172" t="s">
        <v>420</v>
      </c>
      <c r="U6" s="172">
        <v>1200</v>
      </c>
      <c r="V6" s="178">
        <v>4.04</v>
      </c>
      <c r="W6" s="178">
        <v>450</v>
      </c>
      <c r="X6" s="210">
        <v>7.5</v>
      </c>
      <c r="Y6" s="172">
        <v>7.6</v>
      </c>
      <c r="Z6" s="172">
        <v>38.85</v>
      </c>
      <c r="AA6" s="172">
        <v>728</v>
      </c>
      <c r="AB6" s="172"/>
      <c r="AC6" s="172"/>
      <c r="AD6" s="173"/>
      <c r="AE6" s="173"/>
      <c r="AF6" s="173"/>
      <c r="AG6" s="173"/>
      <c r="AH6" s="211"/>
      <c r="AI6" s="173">
        <v>0</v>
      </c>
      <c r="AJ6" s="173">
        <v>7.6</v>
      </c>
      <c r="AK6" s="173">
        <v>38.35</v>
      </c>
      <c r="AL6" s="173">
        <v>729</v>
      </c>
      <c r="AM6" s="173"/>
      <c r="AN6" s="172"/>
      <c r="AO6" s="173"/>
      <c r="AP6" s="173"/>
      <c r="AQ6" s="211"/>
      <c r="AR6" s="173"/>
      <c r="AS6" s="173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86"/>
    </row>
    <row r="7" spans="1:60" ht="409.5">
      <c r="A7" s="171" t="s">
        <v>419</v>
      </c>
      <c r="B7" s="172" t="s">
        <v>425</v>
      </c>
      <c r="C7" s="172" t="s">
        <v>274</v>
      </c>
      <c r="D7" s="172"/>
      <c r="E7" s="173">
        <v>123.3</v>
      </c>
      <c r="F7" s="174"/>
      <c r="G7" s="176"/>
      <c r="H7" s="173">
        <v>716.3</v>
      </c>
      <c r="I7" s="176"/>
      <c r="J7" s="175"/>
      <c r="K7" s="176"/>
      <c r="L7" s="172">
        <v>0.51</v>
      </c>
      <c r="M7" s="174"/>
      <c r="N7" s="174"/>
      <c r="O7" s="172">
        <v>44.46</v>
      </c>
      <c r="P7" s="177"/>
      <c r="Q7" s="172">
        <v>33.979999999999997</v>
      </c>
      <c r="R7" s="177"/>
      <c r="S7" s="177"/>
      <c r="T7" s="172" t="s">
        <v>420</v>
      </c>
      <c r="U7" s="172">
        <v>1200</v>
      </c>
      <c r="V7" s="178">
        <v>4.04</v>
      </c>
      <c r="W7" s="178">
        <v>450</v>
      </c>
      <c r="X7" s="210">
        <v>7.5</v>
      </c>
      <c r="Y7" s="172">
        <v>8.4</v>
      </c>
      <c r="Z7" s="172">
        <v>39.28</v>
      </c>
      <c r="AA7" s="172">
        <v>731</v>
      </c>
      <c r="AB7" s="172"/>
      <c r="AC7" s="172"/>
      <c r="AD7" s="173"/>
      <c r="AE7" s="173"/>
      <c r="AF7" s="173"/>
      <c r="AG7" s="173"/>
      <c r="AH7" s="211"/>
      <c r="AI7" s="173">
        <v>0</v>
      </c>
      <c r="AJ7" s="173">
        <v>8.1999999999999993</v>
      </c>
      <c r="AK7" s="173">
        <v>38.36</v>
      </c>
      <c r="AL7" s="173">
        <v>737</v>
      </c>
      <c r="AM7" s="173"/>
      <c r="AN7" s="172"/>
      <c r="AO7" s="173"/>
      <c r="AP7" s="173"/>
      <c r="AQ7" s="211"/>
      <c r="AR7" s="173"/>
      <c r="AS7" s="173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85"/>
    </row>
    <row r="8" spans="1:60" ht="409.5">
      <c r="A8" s="187" t="s">
        <v>426</v>
      </c>
      <c r="B8" s="188" t="s">
        <v>201</v>
      </c>
      <c r="C8" s="188" t="s">
        <v>268</v>
      </c>
      <c r="D8" s="188"/>
      <c r="E8" s="189">
        <v>268.89999999999998</v>
      </c>
      <c r="F8" s="174"/>
      <c r="G8" s="189">
        <v>1.877</v>
      </c>
      <c r="H8" s="189"/>
      <c r="I8" s="189">
        <v>834.5</v>
      </c>
      <c r="J8" s="174"/>
      <c r="K8" s="188">
        <v>2.6720000000000002</v>
      </c>
      <c r="L8" s="174"/>
      <c r="M8" s="174"/>
      <c r="N8" s="174"/>
      <c r="O8" s="188">
        <v>43.14</v>
      </c>
      <c r="P8" s="174"/>
      <c r="Q8" s="188">
        <v>51.7</v>
      </c>
      <c r="R8" s="188">
        <v>0.06</v>
      </c>
      <c r="S8" s="174"/>
      <c r="T8" s="188" t="s">
        <v>420</v>
      </c>
      <c r="U8" s="188">
        <v>1200</v>
      </c>
      <c r="V8" s="190">
        <v>4</v>
      </c>
      <c r="W8" s="190">
        <v>450</v>
      </c>
      <c r="X8" s="191">
        <v>5</v>
      </c>
      <c r="Y8" s="188">
        <v>4.5999999999999996</v>
      </c>
      <c r="Z8" s="174"/>
      <c r="AA8" s="188">
        <v>633</v>
      </c>
      <c r="AB8" s="188"/>
      <c r="AC8" s="188"/>
      <c r="AD8" s="189"/>
      <c r="AE8" s="189"/>
      <c r="AF8" s="189"/>
      <c r="AG8" s="189"/>
      <c r="AH8" s="192"/>
      <c r="AI8" s="189">
        <v>0</v>
      </c>
      <c r="AJ8" s="189">
        <v>4.7</v>
      </c>
      <c r="AK8" s="176"/>
      <c r="AL8" s="189">
        <v>633</v>
      </c>
      <c r="AM8" s="189"/>
      <c r="AN8" s="188"/>
      <c r="AO8" s="189"/>
      <c r="AP8" s="189"/>
      <c r="AQ8" s="192"/>
      <c r="AR8" s="189"/>
      <c r="AS8" s="189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85"/>
    </row>
    <row r="9" spans="1:60" ht="409.6" thickBot="1">
      <c r="A9" s="187" t="s">
        <v>426</v>
      </c>
      <c r="B9" s="188" t="s">
        <v>427</v>
      </c>
      <c r="C9" s="188" t="s">
        <v>268</v>
      </c>
      <c r="D9" s="188"/>
      <c r="E9" s="176"/>
      <c r="F9" s="174"/>
      <c r="G9" s="189"/>
      <c r="H9" s="189"/>
      <c r="I9" s="189">
        <v>835.7</v>
      </c>
      <c r="J9" s="174"/>
      <c r="K9" s="188">
        <v>4.0999999999999996</v>
      </c>
      <c r="L9" s="174"/>
      <c r="M9" s="174"/>
      <c r="N9" s="174"/>
      <c r="O9" s="174"/>
      <c r="P9" s="174"/>
      <c r="Q9" s="174"/>
      <c r="R9" s="188"/>
      <c r="S9" s="174"/>
      <c r="T9" s="188" t="s">
        <v>420</v>
      </c>
      <c r="U9" s="188">
        <v>1200</v>
      </c>
      <c r="V9" s="190">
        <v>4</v>
      </c>
      <c r="W9" s="190">
        <v>450</v>
      </c>
      <c r="X9" s="191">
        <v>5</v>
      </c>
      <c r="Y9" s="193">
        <v>4.4000000000000004</v>
      </c>
      <c r="Z9" s="194"/>
      <c r="AA9" s="193">
        <v>641</v>
      </c>
      <c r="AB9" s="193"/>
      <c r="AC9" s="193"/>
      <c r="AD9" s="195"/>
      <c r="AE9" s="195"/>
      <c r="AF9" s="195"/>
      <c r="AG9" s="195"/>
      <c r="AH9" s="196"/>
      <c r="AI9" s="189">
        <v>0</v>
      </c>
      <c r="AJ9" s="189">
        <v>4.4000000000000004</v>
      </c>
      <c r="AK9" s="176"/>
      <c r="AL9" s="189">
        <v>636</v>
      </c>
      <c r="AM9" s="189"/>
      <c r="AN9" s="188"/>
      <c r="AO9" s="189"/>
      <c r="AP9" s="189"/>
      <c r="AQ9" s="192"/>
      <c r="AR9" s="189"/>
      <c r="AS9" s="189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85"/>
    </row>
    <row r="10" spans="1:60" ht="409.5">
      <c r="A10" s="197" t="s">
        <v>426</v>
      </c>
      <c r="B10" s="188" t="s">
        <v>428</v>
      </c>
      <c r="C10" s="188" t="s">
        <v>274</v>
      </c>
      <c r="D10" s="188"/>
      <c r="E10" s="176"/>
      <c r="F10" s="174"/>
      <c r="G10" s="188">
        <v>2.2570000000000001</v>
      </c>
      <c r="H10" s="188"/>
      <c r="I10" s="188">
        <v>870</v>
      </c>
      <c r="J10" s="176"/>
      <c r="K10" s="189">
        <v>3.97</v>
      </c>
      <c r="L10" s="174"/>
      <c r="M10" s="174"/>
      <c r="N10" s="174"/>
      <c r="O10" s="188">
        <v>41.27</v>
      </c>
      <c r="P10" s="174"/>
      <c r="Q10" s="188">
        <v>58.23</v>
      </c>
      <c r="R10" s="188">
        <v>12</v>
      </c>
      <c r="S10" s="174"/>
      <c r="T10" s="188" t="s">
        <v>420</v>
      </c>
      <c r="U10" s="188">
        <v>1200</v>
      </c>
      <c r="V10" s="190">
        <v>4</v>
      </c>
      <c r="W10" s="190">
        <v>450</v>
      </c>
      <c r="X10" s="191">
        <v>5</v>
      </c>
      <c r="Y10" s="198">
        <v>4</v>
      </c>
      <c r="Z10" s="199"/>
      <c r="AA10" s="200">
        <v>666</v>
      </c>
      <c r="AB10" s="201"/>
      <c r="AC10" s="202"/>
      <c r="AD10" s="202"/>
      <c r="AE10" s="200"/>
      <c r="AF10" s="200"/>
      <c r="AG10" s="200"/>
      <c r="AH10" s="203"/>
      <c r="AI10" s="189">
        <v>0</v>
      </c>
      <c r="AJ10" s="189">
        <v>4</v>
      </c>
      <c r="AK10" s="176"/>
      <c r="AL10" s="189">
        <v>666</v>
      </c>
      <c r="AM10" s="189"/>
      <c r="AN10" s="188"/>
      <c r="AO10" s="189"/>
      <c r="AP10" s="189"/>
      <c r="AQ10" s="192"/>
      <c r="AR10" s="189"/>
      <c r="AS10" s="189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85"/>
    </row>
    <row r="11" spans="1:60" ht="409.5">
      <c r="A11" s="197" t="s">
        <v>426</v>
      </c>
      <c r="B11" s="188" t="s">
        <v>429</v>
      </c>
      <c r="C11" s="188" t="s">
        <v>274</v>
      </c>
      <c r="D11" s="188"/>
      <c r="E11" s="189">
        <v>335.9</v>
      </c>
      <c r="F11" s="176"/>
      <c r="G11" s="189">
        <v>2.1549999999999998</v>
      </c>
      <c r="H11" s="189"/>
      <c r="I11" s="189">
        <v>883.1</v>
      </c>
      <c r="J11" s="176"/>
      <c r="K11" s="189">
        <v>4.3250000000000002</v>
      </c>
      <c r="L11" s="176"/>
      <c r="M11" s="176"/>
      <c r="N11" s="176"/>
      <c r="O11" s="174"/>
      <c r="P11" s="176"/>
      <c r="Q11" s="189">
        <v>52</v>
      </c>
      <c r="R11" s="188">
        <v>10.43</v>
      </c>
      <c r="S11" s="174"/>
      <c r="T11" s="188" t="s">
        <v>420</v>
      </c>
      <c r="U11" s="188">
        <v>1200</v>
      </c>
      <c r="V11" s="190">
        <v>4</v>
      </c>
      <c r="W11" s="190">
        <v>450</v>
      </c>
      <c r="X11" s="191">
        <v>5</v>
      </c>
      <c r="Y11" s="192">
        <v>4</v>
      </c>
      <c r="Z11" s="176"/>
      <c r="AA11" s="189">
        <v>672</v>
      </c>
      <c r="AB11" s="204"/>
      <c r="AC11" s="189"/>
      <c r="AD11" s="189"/>
      <c r="AE11" s="189"/>
      <c r="AF11" s="189"/>
      <c r="AG11" s="189"/>
      <c r="AH11" s="192"/>
      <c r="AI11" s="189">
        <v>0</v>
      </c>
      <c r="AJ11" s="189">
        <v>4</v>
      </c>
      <c r="AK11" s="176"/>
      <c r="AL11" s="189">
        <v>674</v>
      </c>
      <c r="AM11" s="189"/>
      <c r="AN11" s="188"/>
      <c r="AO11" s="189"/>
      <c r="AP11" s="189"/>
      <c r="AQ11" s="192"/>
      <c r="AR11" s="189"/>
      <c r="AS11" s="189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85"/>
    </row>
    <row r="12" spans="1:60" ht="409.5">
      <c r="A12" s="197" t="s">
        <v>426</v>
      </c>
      <c r="B12" s="188" t="s">
        <v>430</v>
      </c>
      <c r="C12" s="188" t="s">
        <v>274</v>
      </c>
      <c r="D12" s="188"/>
      <c r="E12" s="189">
        <v>334.9</v>
      </c>
      <c r="F12" s="176"/>
      <c r="G12" s="189">
        <v>2.0750000000000002</v>
      </c>
      <c r="H12" s="189"/>
      <c r="I12" s="189">
        <v>884.9</v>
      </c>
      <c r="J12" s="176"/>
      <c r="K12" s="189">
        <v>4.0750000000000002</v>
      </c>
      <c r="L12" s="176"/>
      <c r="M12" s="176"/>
      <c r="N12" s="176"/>
      <c r="O12" s="174"/>
      <c r="P12" s="176"/>
      <c r="Q12" s="189">
        <v>52</v>
      </c>
      <c r="R12" s="188">
        <v>10.82</v>
      </c>
      <c r="S12" s="174"/>
      <c r="T12" s="188" t="s">
        <v>420</v>
      </c>
      <c r="U12" s="188">
        <v>1200</v>
      </c>
      <c r="V12" s="190">
        <v>4</v>
      </c>
      <c r="W12" s="190">
        <v>450</v>
      </c>
      <c r="X12" s="191">
        <v>5</v>
      </c>
      <c r="Y12" s="192">
        <v>4</v>
      </c>
      <c r="Z12" s="176"/>
      <c r="AA12" s="189">
        <v>680</v>
      </c>
      <c r="AB12" s="204"/>
      <c r="AC12" s="189"/>
      <c r="AD12" s="189"/>
      <c r="AE12" s="189"/>
      <c r="AF12" s="189"/>
      <c r="AG12" s="189"/>
      <c r="AH12" s="192"/>
      <c r="AI12" s="189">
        <v>0</v>
      </c>
      <c r="AJ12" s="189">
        <v>4</v>
      </c>
      <c r="AK12" s="176"/>
      <c r="AL12" s="189">
        <v>685</v>
      </c>
      <c r="AM12" s="189"/>
      <c r="AN12" s="188"/>
      <c r="AO12" s="189"/>
      <c r="AP12" s="189"/>
      <c r="AQ12" s="192"/>
      <c r="AR12" s="189"/>
      <c r="AS12" s="189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85"/>
    </row>
    <row r="13" spans="1:60" ht="409.5">
      <c r="A13" s="197" t="s">
        <v>426</v>
      </c>
      <c r="B13" s="188" t="s">
        <v>431</v>
      </c>
      <c r="C13" s="188" t="s">
        <v>274</v>
      </c>
      <c r="D13" s="189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4"/>
      <c r="P13" s="176"/>
      <c r="Q13" s="176"/>
      <c r="R13" s="174"/>
      <c r="S13" s="188">
        <v>10</v>
      </c>
      <c r="T13" s="188" t="s">
        <v>420</v>
      </c>
      <c r="U13" s="188">
        <v>1200</v>
      </c>
      <c r="V13" s="190">
        <v>4</v>
      </c>
      <c r="W13" s="190">
        <v>450</v>
      </c>
      <c r="X13" s="191">
        <v>5</v>
      </c>
      <c r="Y13" s="192">
        <v>4.4000000000000004</v>
      </c>
      <c r="Z13" s="176"/>
      <c r="AA13" s="189">
        <v>642</v>
      </c>
      <c r="AB13" s="204"/>
      <c r="AC13" s="189"/>
      <c r="AD13" s="189"/>
      <c r="AE13" s="189"/>
      <c r="AF13" s="189"/>
      <c r="AG13" s="189"/>
      <c r="AH13" s="192"/>
      <c r="AI13" s="189">
        <v>0</v>
      </c>
      <c r="AJ13" s="189">
        <v>4.5</v>
      </c>
      <c r="AK13" s="176"/>
      <c r="AL13" s="189">
        <v>641</v>
      </c>
      <c r="AM13" s="189"/>
      <c r="AN13" s="188"/>
      <c r="AO13" s="189"/>
      <c r="AP13" s="189"/>
      <c r="AQ13" s="192"/>
      <c r="AR13" s="189"/>
      <c r="AS13" s="189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86"/>
    </row>
    <row r="14" spans="1:60" ht="409.5">
      <c r="A14" s="197" t="s">
        <v>426</v>
      </c>
      <c r="B14" s="188" t="s">
        <v>432</v>
      </c>
      <c r="C14" s="188" t="s">
        <v>274</v>
      </c>
      <c r="D14" s="189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4"/>
      <c r="P14" s="176"/>
      <c r="Q14" s="176"/>
      <c r="R14" s="176"/>
      <c r="S14" s="189">
        <v>9.9</v>
      </c>
      <c r="T14" s="188" t="s">
        <v>420</v>
      </c>
      <c r="U14" s="188">
        <v>1200</v>
      </c>
      <c r="V14" s="190">
        <v>4</v>
      </c>
      <c r="W14" s="190">
        <v>450</v>
      </c>
      <c r="X14" s="191">
        <v>5</v>
      </c>
      <c r="Y14" s="192">
        <v>4.4000000000000004</v>
      </c>
      <c r="Z14" s="176"/>
      <c r="AA14" s="189">
        <v>642</v>
      </c>
      <c r="AB14" s="204"/>
      <c r="AC14" s="189"/>
      <c r="AD14" s="189"/>
      <c r="AE14" s="189"/>
      <c r="AF14" s="189"/>
      <c r="AG14" s="189"/>
      <c r="AH14" s="192"/>
      <c r="AI14" s="189">
        <v>0</v>
      </c>
      <c r="AJ14" s="189">
        <v>4.4000000000000004</v>
      </c>
      <c r="AK14" s="176"/>
      <c r="AL14" s="189">
        <v>640</v>
      </c>
      <c r="AM14" s="189"/>
      <c r="AN14" s="188"/>
      <c r="AO14" s="189"/>
      <c r="AP14" s="189"/>
      <c r="AQ14" s="192"/>
      <c r="AR14" s="189"/>
      <c r="AS14" s="189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86"/>
    </row>
    <row r="15" spans="1:60" ht="409.5">
      <c r="A15" s="197" t="s">
        <v>426</v>
      </c>
      <c r="B15" s="188" t="s">
        <v>433</v>
      </c>
      <c r="C15" s="188" t="s">
        <v>274</v>
      </c>
      <c r="D15" s="189"/>
      <c r="E15" s="176"/>
      <c r="F15" s="176"/>
      <c r="G15" s="176"/>
      <c r="H15" s="176"/>
      <c r="I15" s="176"/>
      <c r="J15" s="176"/>
      <c r="K15" s="176"/>
      <c r="L15" s="174"/>
      <c r="M15" s="176"/>
      <c r="N15" s="176"/>
      <c r="O15" s="174"/>
      <c r="P15" s="176"/>
      <c r="Q15" s="176"/>
      <c r="R15" s="176"/>
      <c r="S15" s="189">
        <v>19.8</v>
      </c>
      <c r="T15" s="188" t="s">
        <v>420</v>
      </c>
      <c r="U15" s="188">
        <v>1200</v>
      </c>
      <c r="V15" s="190">
        <v>4</v>
      </c>
      <c r="W15" s="190">
        <v>450</v>
      </c>
      <c r="X15" s="191">
        <v>5</v>
      </c>
      <c r="Y15" s="192">
        <v>4.4000000000000004</v>
      </c>
      <c r="Z15" s="176"/>
      <c r="AA15" s="189">
        <v>638</v>
      </c>
      <c r="AB15" s="204"/>
      <c r="AC15" s="189"/>
      <c r="AD15" s="189"/>
      <c r="AE15" s="189"/>
      <c r="AF15" s="189"/>
      <c r="AG15" s="189"/>
      <c r="AH15" s="192"/>
      <c r="AI15" s="189">
        <v>0</v>
      </c>
      <c r="AJ15" s="189">
        <v>4.4000000000000004</v>
      </c>
      <c r="AK15" s="176"/>
      <c r="AL15" s="189">
        <v>635</v>
      </c>
      <c r="AM15" s="189"/>
      <c r="AN15" s="188"/>
      <c r="AO15" s="189"/>
      <c r="AP15" s="189"/>
      <c r="AQ15" s="192"/>
      <c r="AR15" s="189"/>
      <c r="AS15" s="189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86"/>
    </row>
    <row r="16" spans="1:60" ht="409.5">
      <c r="A16" s="197" t="s">
        <v>426</v>
      </c>
      <c r="B16" s="188" t="s">
        <v>434</v>
      </c>
      <c r="C16" s="188" t="s">
        <v>274</v>
      </c>
      <c r="D16" s="189"/>
      <c r="E16" s="176"/>
      <c r="F16" s="176"/>
      <c r="G16" s="176"/>
      <c r="H16" s="176"/>
      <c r="I16" s="176"/>
      <c r="J16" s="176"/>
      <c r="K16" s="176"/>
      <c r="L16" s="174"/>
      <c r="M16" s="176"/>
      <c r="N16" s="176"/>
      <c r="O16" s="174"/>
      <c r="P16" s="176"/>
      <c r="Q16" s="176"/>
      <c r="R16" s="176"/>
      <c r="S16" s="189">
        <v>19.899999999999999</v>
      </c>
      <c r="T16" s="188" t="s">
        <v>420</v>
      </c>
      <c r="U16" s="188">
        <v>1200</v>
      </c>
      <c r="V16" s="190">
        <v>4</v>
      </c>
      <c r="W16" s="190">
        <v>450</v>
      </c>
      <c r="X16" s="191">
        <v>5</v>
      </c>
      <c r="Y16" s="192">
        <v>4.4000000000000004</v>
      </c>
      <c r="Z16" s="176"/>
      <c r="AA16" s="189">
        <v>645</v>
      </c>
      <c r="AB16" s="204"/>
      <c r="AC16" s="189"/>
      <c r="AD16" s="189"/>
      <c r="AE16" s="189"/>
      <c r="AF16" s="189"/>
      <c r="AG16" s="189"/>
      <c r="AH16" s="192"/>
      <c r="AI16" s="189">
        <v>0</v>
      </c>
      <c r="AJ16" s="189">
        <v>4.3</v>
      </c>
      <c r="AK16" s="176"/>
      <c r="AL16" s="189">
        <v>645</v>
      </c>
      <c r="AM16" s="189"/>
      <c r="AN16" s="188"/>
      <c r="AO16" s="189"/>
      <c r="AP16" s="189"/>
      <c r="AQ16" s="192"/>
      <c r="AR16" s="189"/>
      <c r="AS16" s="189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86"/>
    </row>
    <row r="17" spans="1:60" ht="409.5">
      <c r="A17" s="197" t="s">
        <v>426</v>
      </c>
      <c r="B17" s="188" t="s">
        <v>435</v>
      </c>
      <c r="C17" s="188" t="s">
        <v>274</v>
      </c>
      <c r="D17" s="189"/>
      <c r="E17" s="176"/>
      <c r="F17" s="176"/>
      <c r="G17" s="176"/>
      <c r="H17" s="176"/>
      <c r="I17" s="176"/>
      <c r="J17" s="176"/>
      <c r="K17" s="176"/>
      <c r="L17" s="174"/>
      <c r="M17" s="176"/>
      <c r="N17" s="176"/>
      <c r="O17" s="174"/>
      <c r="P17" s="176"/>
      <c r="Q17" s="176"/>
      <c r="R17" s="176"/>
      <c r="S17" s="189">
        <v>19.899999999999999</v>
      </c>
      <c r="T17" s="188" t="s">
        <v>420</v>
      </c>
      <c r="U17" s="188">
        <v>1200</v>
      </c>
      <c r="V17" s="190">
        <v>4</v>
      </c>
      <c r="W17" s="190">
        <v>450</v>
      </c>
      <c r="X17" s="191">
        <v>5</v>
      </c>
      <c r="Y17" s="192">
        <v>4.2</v>
      </c>
      <c r="Z17" s="176"/>
      <c r="AA17" s="189">
        <v>645</v>
      </c>
      <c r="AB17" s="204"/>
      <c r="AC17" s="189"/>
      <c r="AD17" s="189"/>
      <c r="AE17" s="189"/>
      <c r="AF17" s="189"/>
      <c r="AG17" s="189"/>
      <c r="AH17" s="192"/>
      <c r="AI17" s="189">
        <v>0</v>
      </c>
      <c r="AJ17" s="189">
        <v>4.3</v>
      </c>
      <c r="AK17" s="176"/>
      <c r="AL17" s="189">
        <v>640</v>
      </c>
      <c r="AM17" s="189"/>
      <c r="AN17" s="188"/>
      <c r="AO17" s="189"/>
      <c r="AP17" s="189"/>
      <c r="AQ17" s="192"/>
      <c r="AR17" s="189"/>
      <c r="AS17" s="189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86"/>
    </row>
    <row r="18" spans="1:60" ht="409.5">
      <c r="A18" s="205" t="s">
        <v>436</v>
      </c>
      <c r="B18" s="180" t="s">
        <v>267</v>
      </c>
      <c r="C18" s="180"/>
      <c r="D18" s="181"/>
      <c r="E18" s="181">
        <v>268.89999999999998</v>
      </c>
      <c r="F18" s="176"/>
      <c r="G18" s="176"/>
      <c r="H18" s="181">
        <v>834.5</v>
      </c>
      <c r="I18" s="176"/>
      <c r="J18" s="176"/>
      <c r="K18" s="176"/>
      <c r="L18" s="176"/>
      <c r="M18" s="176"/>
      <c r="N18" s="176"/>
      <c r="O18" s="180">
        <v>43.14</v>
      </c>
      <c r="P18" s="176"/>
      <c r="Q18" s="176"/>
      <c r="R18" s="176"/>
      <c r="S18" s="176"/>
      <c r="T18" s="180" t="s">
        <v>420</v>
      </c>
      <c r="U18" s="180">
        <v>1200</v>
      </c>
      <c r="V18" s="206">
        <v>4</v>
      </c>
      <c r="W18" s="206">
        <v>450</v>
      </c>
      <c r="X18" s="179">
        <v>7.5</v>
      </c>
      <c r="Y18" s="182">
        <v>5.0999999999999996</v>
      </c>
      <c r="Z18" s="181">
        <v>40.58</v>
      </c>
      <c r="AA18" s="181">
        <v>746</v>
      </c>
      <c r="AB18" s="207"/>
      <c r="AC18" s="181"/>
      <c r="AD18" s="181"/>
      <c r="AE18" s="181"/>
      <c r="AF18" s="181"/>
      <c r="AG18" s="181"/>
      <c r="AH18" s="182"/>
      <c r="AI18" s="181">
        <v>0</v>
      </c>
      <c r="AJ18" s="181">
        <v>4.9000000000000004</v>
      </c>
      <c r="AK18" s="181">
        <v>40.11</v>
      </c>
      <c r="AL18" s="181">
        <v>750</v>
      </c>
      <c r="AM18" s="181"/>
      <c r="AN18" s="180"/>
      <c r="AO18" s="181"/>
      <c r="AP18" s="181"/>
      <c r="AQ18" s="182"/>
      <c r="AR18" s="181"/>
      <c r="AS18" s="181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86"/>
    </row>
    <row r="19" spans="1:60" ht="409.5">
      <c r="A19" s="205" t="s">
        <v>436</v>
      </c>
      <c r="B19" s="180" t="s">
        <v>437</v>
      </c>
      <c r="C19" s="180"/>
      <c r="D19" s="181"/>
      <c r="E19" s="181">
        <v>90.4</v>
      </c>
      <c r="F19" s="176"/>
      <c r="G19" s="176"/>
      <c r="H19" s="181">
        <v>1063</v>
      </c>
      <c r="I19" s="176"/>
      <c r="J19" s="176"/>
      <c r="K19" s="176"/>
      <c r="L19" s="180">
        <v>0.57899999999999996</v>
      </c>
      <c r="M19" s="176"/>
      <c r="N19" s="176"/>
      <c r="O19" s="180">
        <v>14.51</v>
      </c>
      <c r="P19" s="176"/>
      <c r="Q19" s="176"/>
      <c r="R19" s="176"/>
      <c r="S19" s="176"/>
      <c r="T19" s="180" t="s">
        <v>420</v>
      </c>
      <c r="U19" s="180">
        <v>1200</v>
      </c>
      <c r="V19" s="206">
        <v>4</v>
      </c>
      <c r="W19" s="206">
        <v>450</v>
      </c>
      <c r="X19" s="179">
        <v>7.5</v>
      </c>
      <c r="Y19" s="182">
        <v>8.8000000000000007</v>
      </c>
      <c r="Z19" s="176"/>
      <c r="AA19" s="181">
        <v>1244</v>
      </c>
      <c r="AB19" s="207"/>
      <c r="AC19" s="181"/>
      <c r="AD19" s="181"/>
      <c r="AE19" s="181"/>
      <c r="AF19" s="181"/>
      <c r="AG19" s="181"/>
      <c r="AH19" s="182"/>
      <c r="AI19" s="181">
        <v>0</v>
      </c>
      <c r="AJ19" s="181">
        <v>8.5</v>
      </c>
      <c r="AK19" s="176"/>
      <c r="AL19" s="181">
        <v>1280</v>
      </c>
      <c r="AM19" s="181"/>
      <c r="AN19" s="180"/>
      <c r="AO19" s="181"/>
      <c r="AP19" s="181"/>
      <c r="AQ19" s="182"/>
      <c r="AR19" s="181"/>
      <c r="AS19" s="181"/>
      <c r="AT19" s="181">
        <v>3894</v>
      </c>
      <c r="AU19" s="181">
        <v>7.1</v>
      </c>
      <c r="AV19" s="176"/>
      <c r="AW19" s="181">
        <v>1258</v>
      </c>
      <c r="AX19" s="181">
        <v>7.1</v>
      </c>
      <c r="AY19" s="176"/>
      <c r="AZ19" s="181">
        <v>1275</v>
      </c>
      <c r="BA19" s="181"/>
      <c r="BB19" s="181"/>
      <c r="BC19" s="181"/>
      <c r="BD19" s="181"/>
      <c r="BE19" s="181"/>
      <c r="BF19" s="181"/>
      <c r="BG19" s="181"/>
      <c r="BH19" s="186"/>
    </row>
    <row r="20" spans="1:60" ht="409.5">
      <c r="A20" s="205" t="s">
        <v>436</v>
      </c>
      <c r="B20" s="180" t="s">
        <v>438</v>
      </c>
      <c r="C20" s="180"/>
      <c r="D20" s="181"/>
      <c r="E20" s="181">
        <v>127</v>
      </c>
      <c r="F20" s="176"/>
      <c r="G20" s="176"/>
      <c r="H20" s="181">
        <v>969</v>
      </c>
      <c r="I20" s="176"/>
      <c r="J20" s="176"/>
      <c r="K20" s="176"/>
      <c r="L20" s="180">
        <v>0.749</v>
      </c>
      <c r="M20" s="176"/>
      <c r="N20" s="176"/>
      <c r="O20" s="180">
        <v>22.17</v>
      </c>
      <c r="P20" s="176"/>
      <c r="Q20" s="176"/>
      <c r="R20" s="176"/>
      <c r="S20" s="176"/>
      <c r="T20" s="180" t="s">
        <v>420</v>
      </c>
      <c r="U20" s="180">
        <v>1200</v>
      </c>
      <c r="V20" s="206">
        <v>4</v>
      </c>
      <c r="W20" s="206">
        <v>450</v>
      </c>
      <c r="X20" s="179">
        <v>7.5</v>
      </c>
      <c r="Y20" s="182">
        <v>10</v>
      </c>
      <c r="Z20" s="176"/>
      <c r="AA20" s="181">
        <v>1016</v>
      </c>
      <c r="AB20" s="207"/>
      <c r="AC20" s="181"/>
      <c r="AD20" s="181"/>
      <c r="AE20" s="181"/>
      <c r="AF20" s="181"/>
      <c r="AG20" s="181"/>
      <c r="AH20" s="182"/>
      <c r="AI20" s="181">
        <v>0</v>
      </c>
      <c r="AJ20" s="181">
        <v>9.9</v>
      </c>
      <c r="AK20" s="176"/>
      <c r="AL20" s="181">
        <v>1048</v>
      </c>
      <c r="AM20" s="181"/>
      <c r="AN20" s="180"/>
      <c r="AO20" s="181"/>
      <c r="AP20" s="181"/>
      <c r="AQ20" s="182"/>
      <c r="AR20" s="181"/>
      <c r="AS20" s="181"/>
      <c r="AT20" s="181">
        <v>11576</v>
      </c>
      <c r="AU20" s="181">
        <v>7.2</v>
      </c>
      <c r="AV20" s="176"/>
      <c r="AW20" s="181">
        <v>1039</v>
      </c>
      <c r="AX20" s="181">
        <v>7.3</v>
      </c>
      <c r="AY20" s="176"/>
      <c r="AZ20" s="181">
        <v>1048</v>
      </c>
      <c r="BA20" s="181"/>
      <c r="BB20" s="181"/>
      <c r="BC20" s="181"/>
      <c r="BD20" s="181"/>
      <c r="BE20" s="181"/>
      <c r="BF20" s="181"/>
      <c r="BG20" s="181"/>
      <c r="BH20" s="186"/>
    </row>
    <row r="21" spans="1:60" ht="409.5">
      <c r="A21" s="205" t="s">
        <v>436</v>
      </c>
      <c r="B21" s="208" t="s">
        <v>439</v>
      </c>
      <c r="C21" s="208"/>
      <c r="D21" s="181"/>
      <c r="E21" s="181">
        <v>207</v>
      </c>
      <c r="F21" s="176"/>
      <c r="G21" s="176"/>
      <c r="H21" s="181">
        <v>923.9</v>
      </c>
      <c r="I21" s="176"/>
      <c r="J21" s="176"/>
      <c r="K21" s="176"/>
      <c r="L21" s="181">
        <v>1.7629999999999999</v>
      </c>
      <c r="M21" s="176"/>
      <c r="N21" s="176"/>
      <c r="O21" s="176"/>
      <c r="P21" s="176"/>
      <c r="Q21" s="176"/>
      <c r="R21" s="174"/>
      <c r="S21" s="174"/>
      <c r="T21" s="180" t="s">
        <v>420</v>
      </c>
      <c r="U21" s="180">
        <v>1200</v>
      </c>
      <c r="V21" s="206">
        <v>4</v>
      </c>
      <c r="W21" s="206">
        <v>450</v>
      </c>
      <c r="X21" s="179">
        <v>7.5</v>
      </c>
      <c r="Y21" s="182">
        <v>7.4</v>
      </c>
      <c r="Z21" s="176"/>
      <c r="AA21" s="181">
        <v>860</v>
      </c>
      <c r="AB21" s="207"/>
      <c r="AC21" s="181"/>
      <c r="AD21" s="181"/>
      <c r="AE21" s="181"/>
      <c r="AF21" s="182"/>
      <c r="AG21" s="181"/>
      <c r="AH21" s="182"/>
      <c r="AI21" s="181">
        <v>0</v>
      </c>
      <c r="AJ21" s="181">
        <v>7.3</v>
      </c>
      <c r="AK21" s="176"/>
      <c r="AL21" s="181">
        <v>871</v>
      </c>
      <c r="AM21" s="181"/>
      <c r="AN21" s="180"/>
      <c r="AO21" s="181"/>
      <c r="AP21" s="181"/>
      <c r="AQ21" s="182"/>
      <c r="AR21" s="182"/>
      <c r="AS21" s="182"/>
      <c r="AT21" s="182">
        <v>4236</v>
      </c>
      <c r="AU21" s="182">
        <v>6</v>
      </c>
      <c r="AV21" s="209"/>
      <c r="AW21" s="182">
        <v>873</v>
      </c>
      <c r="AX21" s="182">
        <v>6.1</v>
      </c>
      <c r="AY21" s="209"/>
      <c r="AZ21" s="182">
        <v>887</v>
      </c>
      <c r="BA21" s="182"/>
      <c r="BB21" s="182"/>
      <c r="BC21" s="182"/>
      <c r="BD21" s="182"/>
      <c r="BE21" s="182"/>
      <c r="BF21" s="182"/>
      <c r="BG21" s="182"/>
      <c r="BH21" s="185"/>
    </row>
    <row r="22" spans="1:60" ht="409.5">
      <c r="A22" s="205" t="s">
        <v>436</v>
      </c>
      <c r="B22" s="208" t="s">
        <v>440</v>
      </c>
      <c r="C22" s="208"/>
      <c r="D22" s="181"/>
      <c r="E22" s="181">
        <v>179</v>
      </c>
      <c r="F22" s="176"/>
      <c r="G22" s="176"/>
      <c r="H22" s="181">
        <v>921</v>
      </c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80" t="s">
        <v>420</v>
      </c>
      <c r="U22" s="180">
        <v>1200</v>
      </c>
      <c r="V22" s="206">
        <v>4</v>
      </c>
      <c r="W22" s="206">
        <v>450</v>
      </c>
      <c r="X22" s="179">
        <v>7.5</v>
      </c>
      <c r="Y22" s="182">
        <v>8.6</v>
      </c>
      <c r="Z22" s="176"/>
      <c r="AA22" s="181">
        <v>837</v>
      </c>
      <c r="AB22" s="207"/>
      <c r="AC22" s="181"/>
      <c r="AD22" s="181"/>
      <c r="AE22" s="181"/>
      <c r="AF22" s="182"/>
      <c r="AG22" s="181"/>
      <c r="AH22" s="182"/>
      <c r="AI22" s="181">
        <v>0</v>
      </c>
      <c r="AJ22" s="181">
        <v>8.6</v>
      </c>
      <c r="AK22" s="176"/>
      <c r="AL22" s="181">
        <v>853</v>
      </c>
      <c r="AM22" s="181"/>
      <c r="AN22" s="180"/>
      <c r="AO22" s="181"/>
      <c r="AP22" s="181"/>
      <c r="AQ22" s="182"/>
      <c r="AR22" s="182"/>
      <c r="AS22" s="182"/>
      <c r="AT22" s="182">
        <v>7018</v>
      </c>
      <c r="AU22" s="182">
        <v>7.3</v>
      </c>
      <c r="AV22" s="209"/>
      <c r="AW22" s="182">
        <v>884</v>
      </c>
      <c r="AX22" s="182">
        <v>7.3</v>
      </c>
      <c r="AY22" s="209"/>
      <c r="AZ22" s="182">
        <v>890</v>
      </c>
      <c r="BA22" s="182"/>
      <c r="BB22" s="182"/>
      <c r="BC22" s="182"/>
      <c r="BD22" s="182"/>
      <c r="BE22" s="182"/>
      <c r="BF22" s="182"/>
      <c r="BG22" s="182"/>
      <c r="BH22" s="186"/>
    </row>
    <row r="23" spans="1:60" ht="409.5">
      <c r="A23" s="205" t="s">
        <v>436</v>
      </c>
      <c r="B23" s="208" t="s">
        <v>441</v>
      </c>
      <c r="C23" s="208"/>
      <c r="D23" s="181"/>
      <c r="E23" s="181">
        <v>190</v>
      </c>
      <c r="F23" s="176"/>
      <c r="G23" s="176"/>
      <c r="H23" s="181">
        <v>906.8</v>
      </c>
      <c r="I23" s="176"/>
      <c r="J23" s="176"/>
      <c r="K23" s="176"/>
      <c r="L23" s="181">
        <v>1.8320000000000001</v>
      </c>
      <c r="M23" s="176"/>
      <c r="N23" s="176"/>
      <c r="O23" s="176"/>
      <c r="P23" s="176"/>
      <c r="Q23" s="176"/>
      <c r="R23" s="176"/>
      <c r="S23" s="176"/>
      <c r="T23" s="180" t="s">
        <v>420</v>
      </c>
      <c r="U23" s="180">
        <v>1200</v>
      </c>
      <c r="V23" s="206">
        <v>4</v>
      </c>
      <c r="W23" s="206">
        <v>450</v>
      </c>
      <c r="X23" s="179">
        <v>7.5</v>
      </c>
      <c r="Y23" s="182">
        <v>8.6999999999999993</v>
      </c>
      <c r="Z23" s="176"/>
      <c r="AA23" s="181">
        <v>852</v>
      </c>
      <c r="AB23" s="207"/>
      <c r="AC23" s="181"/>
      <c r="AD23" s="181"/>
      <c r="AE23" s="181"/>
      <c r="AF23" s="182"/>
      <c r="AG23" s="181"/>
      <c r="AH23" s="182"/>
      <c r="AI23" s="181">
        <v>0</v>
      </c>
      <c r="AJ23" s="181">
        <v>8.8000000000000007</v>
      </c>
      <c r="AK23" s="176"/>
      <c r="AL23" s="181">
        <v>865</v>
      </c>
      <c r="AM23" s="181"/>
      <c r="AN23" s="180"/>
      <c r="AO23" s="181"/>
      <c r="AP23" s="181"/>
      <c r="AQ23" s="182"/>
      <c r="AR23" s="182"/>
      <c r="AS23" s="182"/>
      <c r="AT23" s="182">
        <v>8533</v>
      </c>
      <c r="AU23" s="182">
        <v>7.1</v>
      </c>
      <c r="AV23" s="209"/>
      <c r="AW23" s="182">
        <v>895</v>
      </c>
      <c r="AX23" s="182">
        <v>7.1</v>
      </c>
      <c r="AY23" s="209"/>
      <c r="AZ23" s="182">
        <v>903</v>
      </c>
      <c r="BA23" s="182"/>
      <c r="BB23" s="182"/>
      <c r="BC23" s="182"/>
      <c r="BD23" s="182"/>
      <c r="BE23" s="182"/>
      <c r="BF23" s="182"/>
      <c r="BG23" s="182"/>
      <c r="BH23" s="186"/>
    </row>
    <row r="24" spans="1:60" ht="409.5">
      <c r="A24" s="205" t="s">
        <v>436</v>
      </c>
      <c r="B24" s="208" t="s">
        <v>442</v>
      </c>
      <c r="C24" s="208"/>
      <c r="D24" s="181"/>
      <c r="E24" s="181">
        <v>161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80" t="s">
        <v>420</v>
      </c>
      <c r="U24" s="180">
        <v>1200</v>
      </c>
      <c r="V24" s="206">
        <v>4</v>
      </c>
      <c r="W24" s="206">
        <v>450</v>
      </c>
      <c r="X24" s="179">
        <v>7.5</v>
      </c>
      <c r="Y24" s="182">
        <v>9.1</v>
      </c>
      <c r="Z24" s="176"/>
      <c r="AA24" s="181">
        <v>845</v>
      </c>
      <c r="AB24" s="207"/>
      <c r="AC24" s="181"/>
      <c r="AD24" s="181"/>
      <c r="AE24" s="181"/>
      <c r="AF24" s="182"/>
      <c r="AG24" s="181"/>
      <c r="AH24" s="182"/>
      <c r="AI24" s="181">
        <v>0</v>
      </c>
      <c r="AJ24" s="181">
        <v>9.1</v>
      </c>
      <c r="AK24" s="176"/>
      <c r="AL24" s="181">
        <v>860</v>
      </c>
      <c r="AM24" s="181"/>
      <c r="AN24" s="180"/>
      <c r="AO24" s="181"/>
      <c r="AP24" s="181"/>
      <c r="AQ24" s="182"/>
      <c r="AR24" s="182"/>
      <c r="AS24" s="182"/>
      <c r="AT24" s="182">
        <v>10066</v>
      </c>
      <c r="AU24" s="182">
        <v>7.5</v>
      </c>
      <c r="AV24" s="209"/>
      <c r="AW24" s="182">
        <v>886</v>
      </c>
      <c r="AX24" s="182">
        <v>7.3</v>
      </c>
      <c r="AY24" s="209"/>
      <c r="AZ24" s="182">
        <v>895</v>
      </c>
      <c r="BA24" s="182"/>
      <c r="BB24" s="182"/>
      <c r="BC24" s="182"/>
      <c r="BD24" s="182"/>
      <c r="BE24" s="182"/>
      <c r="BF24" s="182"/>
      <c r="BG24" s="182"/>
      <c r="BH24" s="186"/>
    </row>
    <row r="25" spans="1:60" ht="409.5">
      <c r="A25" s="205" t="s">
        <v>436</v>
      </c>
      <c r="B25" s="208" t="s">
        <v>443</v>
      </c>
      <c r="C25" s="208"/>
      <c r="D25" s="181"/>
      <c r="E25" s="181">
        <v>187</v>
      </c>
      <c r="F25" s="176"/>
      <c r="G25" s="176"/>
      <c r="H25" s="181">
        <v>871.1</v>
      </c>
      <c r="I25" s="176"/>
      <c r="J25" s="176"/>
      <c r="K25" s="176"/>
      <c r="L25" s="181">
        <v>1.3480000000000001</v>
      </c>
      <c r="M25" s="176"/>
      <c r="N25" s="176"/>
      <c r="O25" s="176"/>
      <c r="P25" s="176"/>
      <c r="Q25" s="176"/>
      <c r="R25" s="176"/>
      <c r="S25" s="176"/>
      <c r="T25" s="180" t="s">
        <v>420</v>
      </c>
      <c r="U25" s="180">
        <v>1200</v>
      </c>
      <c r="V25" s="206">
        <v>4</v>
      </c>
      <c r="W25" s="206">
        <v>450</v>
      </c>
      <c r="X25" s="179">
        <v>7.5</v>
      </c>
      <c r="Y25" s="182">
        <v>6.9</v>
      </c>
      <c r="Z25" s="176"/>
      <c r="AA25" s="181">
        <v>820</v>
      </c>
      <c r="AB25" s="207"/>
      <c r="AC25" s="181"/>
      <c r="AD25" s="181"/>
      <c r="AE25" s="181"/>
      <c r="AF25" s="182"/>
      <c r="AG25" s="181"/>
      <c r="AH25" s="182"/>
      <c r="AI25" s="181">
        <v>0</v>
      </c>
      <c r="AJ25" s="181">
        <v>6.9</v>
      </c>
      <c r="AK25" s="176"/>
      <c r="AL25" s="181">
        <v>827</v>
      </c>
      <c r="AM25" s="181"/>
      <c r="AN25" s="180"/>
      <c r="AO25" s="181"/>
      <c r="AP25" s="181"/>
      <c r="AQ25" s="182"/>
      <c r="AR25" s="182"/>
      <c r="AS25" s="182"/>
      <c r="AT25" s="182">
        <v>3034</v>
      </c>
      <c r="AU25" s="182">
        <v>5.9</v>
      </c>
      <c r="AV25" s="209"/>
      <c r="AW25" s="182">
        <v>828</v>
      </c>
      <c r="AX25" s="182">
        <v>5.8</v>
      </c>
      <c r="AY25" s="209"/>
      <c r="AZ25" s="182">
        <v>829</v>
      </c>
      <c r="BA25" s="182"/>
      <c r="BB25" s="182"/>
      <c r="BC25" s="182"/>
      <c r="BD25" s="182"/>
      <c r="BE25" s="182"/>
      <c r="BF25" s="182"/>
      <c r="BG25" s="182"/>
      <c r="BH25" s="186"/>
    </row>
    <row r="26" spans="1:60" ht="409.5">
      <c r="A26" s="205" t="s">
        <v>436</v>
      </c>
      <c r="B26" s="208" t="s">
        <v>444</v>
      </c>
      <c r="C26" s="208"/>
      <c r="D26" s="181"/>
      <c r="E26" s="181">
        <v>188</v>
      </c>
      <c r="F26" s="176"/>
      <c r="G26" s="176"/>
      <c r="H26" s="181">
        <v>821</v>
      </c>
      <c r="I26" s="176"/>
      <c r="J26" s="176"/>
      <c r="K26" s="176"/>
      <c r="L26" s="176"/>
      <c r="M26" s="176"/>
      <c r="N26" s="176"/>
      <c r="O26" s="181">
        <v>37.61</v>
      </c>
      <c r="P26" s="176"/>
      <c r="Q26" s="176"/>
      <c r="R26" s="176"/>
      <c r="S26" s="176"/>
      <c r="T26" s="180" t="s">
        <v>420</v>
      </c>
      <c r="U26" s="180">
        <v>1200</v>
      </c>
      <c r="V26" s="206">
        <v>4</v>
      </c>
      <c r="W26" s="206">
        <v>450</v>
      </c>
      <c r="X26" s="179">
        <v>7.5</v>
      </c>
      <c r="Y26" s="182">
        <v>6.1</v>
      </c>
      <c r="Z26" s="176"/>
      <c r="AA26" s="181">
        <v>769</v>
      </c>
      <c r="AB26" s="207"/>
      <c r="AC26" s="181"/>
      <c r="AD26" s="181"/>
      <c r="AE26" s="181"/>
      <c r="AF26" s="182"/>
      <c r="AG26" s="181"/>
      <c r="AH26" s="182"/>
      <c r="AI26" s="181">
        <v>0</v>
      </c>
      <c r="AJ26" s="181">
        <v>6</v>
      </c>
      <c r="AK26" s="176"/>
      <c r="AL26" s="181">
        <v>828</v>
      </c>
      <c r="AM26" s="181"/>
      <c r="AN26" s="180"/>
      <c r="AO26" s="181"/>
      <c r="AP26" s="181"/>
      <c r="AQ26" s="182"/>
      <c r="AR26" s="182"/>
      <c r="AS26" s="182"/>
      <c r="AT26" s="209"/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  <c r="BE26" s="209"/>
      <c r="BF26" s="209"/>
      <c r="BG26" s="209"/>
      <c r="BH26" s="18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107bb-0f76-48f1-ad55-61d82881e0ea">
      <Terms xmlns="http://schemas.microsoft.com/office/infopath/2007/PartnerControls"/>
    </lcf76f155ced4ddcb4097134ff3c332f>
    <TaxCatchAll xmlns="91323eb1-b8f0-4b64-941c-51ca4f37a4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608D7C88C514AB38C6FED04459CB5" ma:contentTypeVersion="11" ma:contentTypeDescription="Create a new document." ma:contentTypeScope="" ma:versionID="822b0c14ccdf877bbe4bf89120ec138b">
  <xsd:schema xmlns:xsd="http://www.w3.org/2001/XMLSchema" xmlns:xs="http://www.w3.org/2001/XMLSchema" xmlns:p="http://schemas.microsoft.com/office/2006/metadata/properties" xmlns:ns2="999107bb-0f76-48f1-ad55-61d82881e0ea" xmlns:ns3="91323eb1-b8f0-4b64-941c-51ca4f37a46a" targetNamespace="http://schemas.microsoft.com/office/2006/metadata/properties" ma:root="true" ma:fieldsID="3eb4fab006ceaf3e1cae50657b13bc1b" ns2:_="" ns3:_="">
    <xsd:import namespace="999107bb-0f76-48f1-ad55-61d82881e0ea"/>
    <xsd:import namespace="91323eb1-b8f0-4b64-941c-51ca4f37a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07bb-0f76-48f1-ad55-61d82881e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3eb1-b8f0-4b64-941c-51ca4f37a4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031787-537d-4ac8-973b-e11105289cec}" ma:internalName="TaxCatchAll" ma:showField="CatchAllData" ma:web="91323eb1-b8f0-4b64-941c-51ca4f37a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180A3-0561-4303-888C-1B73179C0F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DE4FC2-EA15-4D9E-BE61-10896E85D246}">
  <ds:schemaRefs>
    <ds:schemaRef ds:uri="http://www.w3.org/XML/1998/namespace"/>
    <ds:schemaRef ds:uri="http://purl.org/dc/terms/"/>
    <ds:schemaRef ds:uri="http://purl.org/dc/elements/1.1/"/>
    <ds:schemaRef ds:uri="91323eb1-b8f0-4b64-941c-51ca4f37a46a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999107bb-0f76-48f1-ad55-61d82881e0ea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29DE492-6975-4EB1-A8D0-E6773BC32D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107bb-0f76-48f1-ad55-61d82881e0ea"/>
    <ds:schemaRef ds:uri="91323eb1-b8f0-4b64-941c-51ca4f37a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Salvina</vt:lpstr>
      <vt:lpstr>Yang</vt:lpstr>
      <vt:lpstr>Yangy2</vt:lpstr>
      <vt:lpstr>Nadia 1</vt:lpstr>
      <vt:lpstr>Nadia 2</vt:lpstr>
      <vt:lpstr>Maimoona</vt:lpstr>
      <vt:lpstr>Intan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Intan Syazana Ramli</dc:creator>
  <cp:keywords/>
  <dc:description/>
  <cp:lastModifiedBy>Ramli, Intan Syazana</cp:lastModifiedBy>
  <cp:revision/>
  <dcterms:created xsi:type="dcterms:W3CDTF">2025-10-20T21:54:29Z</dcterms:created>
  <dcterms:modified xsi:type="dcterms:W3CDTF">2025-11-02T18:13:42Z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0x010100164608D7C88C514AB38C6FED04459CB5</vt:lpwstr>
  </property>
  <property fmtid="{D5CDD505-2E9C-101B-9397-08002B2CF9AE}" pid="3" name="MediaServiceImageTags">
    <vt:lpwstr/>
  </property>
</Properties>
</file>